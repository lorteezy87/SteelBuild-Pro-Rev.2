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Changelog" sheetId="1" state="visible" r:id="rId1"/>
    <sheet name="Tracker" sheetId="2" state="visible" r:id="rId2"/>
    <sheet name="Summary" sheetId="3" state="visible" r:id="rId3"/>
    <sheet name="MSP Import" sheetId="4" state="visible" r:id="rId4"/>
    <sheet name="Not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mm\ d\,\ yyyy"/>
    <numFmt numFmtId="165" formatCode="yyyy-mm-dd"/>
    <numFmt numFmtId="166" formatCode="YYYY-MM-DD"/>
    <numFmt numFmtId="167" formatCode="yyyy-mm-dd h:mm:ss"/>
  </numFmts>
  <fonts count="21">
    <font>
      <name val="Calibri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rgb="FF666666"/>
      <sz val="11"/>
    </font>
    <font>
      <name val="Calibri"/>
      <family val="2"/>
      <b val="1"/>
      <sz val="11"/>
    </font>
    <font>
      <name val="Calibri"/>
      <family val="2"/>
      <color rgb="FF1F4E78"/>
      <sz val="11"/>
    </font>
    <font>
      <name val="Calibri"/>
      <family val="2"/>
      <b val="1"/>
      <color rgb="FFFFFFFF"/>
      <sz val="18"/>
    </font>
    <font>
      <name val="Calibri"/>
      <family val="2"/>
      <b val="1"/>
      <color rgb="FF1F4E78"/>
      <sz val="11"/>
    </font>
    <font>
      <name val="Calibri"/>
      <family val="2"/>
      <b val="1"/>
      <color rgb="FF1F4E78"/>
      <sz val="20"/>
    </font>
    <font>
      <name val="Calibri"/>
      <family val="2"/>
      <b val="1"/>
      <color rgb="FF2E6B3E"/>
      <sz val="11"/>
    </font>
    <font>
      <name val="Calibri"/>
      <family val="2"/>
      <b val="1"/>
      <color rgb="FF2E6B3E"/>
      <sz val="20"/>
    </font>
    <font>
      <name val="Calibri"/>
      <family val="2"/>
      <b val="1"/>
      <color rgb="FF9C6500"/>
      <sz val="11"/>
    </font>
    <font>
      <name val="Calibri"/>
      <family val="2"/>
      <b val="1"/>
      <color rgb="FF9C6500"/>
      <sz val="20"/>
    </font>
    <font>
      <name val="Calibri"/>
      <family val="2"/>
      <b val="1"/>
      <color rgb="FF9C0006"/>
      <sz val="11"/>
    </font>
    <font>
      <name val="Calibri"/>
      <family val="2"/>
      <b val="1"/>
      <color rgb="FF9C0006"/>
      <sz val="20"/>
    </font>
    <font>
      <name val="Calibri"/>
      <family val="2"/>
      <b val="1"/>
      <color rgb="FF595959"/>
      <sz val="11"/>
    </font>
    <font>
      <name val="Calibri"/>
      <family val="2"/>
      <b val="1"/>
      <color rgb="FF595959"/>
      <sz val="20"/>
    </font>
    <font>
      <name val="Calibri"/>
      <family val="2"/>
      <b val="1"/>
      <color rgb="FFFFFFFF"/>
      <sz val="16"/>
    </font>
    <font>
      <name val="Calibri"/>
      <family val="2"/>
      <color rgb="FF7F6000"/>
      <sz val="11"/>
    </font>
    <font>
      <name val="Calibri"/>
      <family val="2"/>
      <color theme="1"/>
      <sz val="11"/>
    </font>
    <font>
      <b val="1"/>
      <sz val="14"/>
    </font>
    <font>
      <b val="1"/>
    </font>
  </fonts>
  <fills count="17">
    <fill>
      <patternFill/>
    </fill>
    <fill>
      <patternFill patternType="gray125"/>
    </fill>
    <fill>
      <patternFill patternType="solid">
        <fgColor rgb="FFFDE9E7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EEF5FA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FF9E6"/>
      </patternFill>
    </fill>
  </fills>
  <borders count="14">
    <border>
      <left/>
      <right/>
      <top/>
      <bottom/>
      <diagonal/>
    </border>
    <border>
      <left/>
      <right style="thin">
        <color rgb="FF6F8EAA"/>
      </right>
      <top/>
      <bottom style="thin">
        <color rgb="FFD9E1F2"/>
      </bottom>
      <diagonal/>
    </border>
    <border>
      <left style="thin">
        <color rgb="FF6F8EAA"/>
      </left>
      <right style="thin">
        <color rgb="FF6F8EAA"/>
      </right>
      <top/>
      <bottom style="thin">
        <color rgb="FFD9E1F2"/>
      </bottom>
      <diagonal/>
    </border>
    <border>
      <left style="thin">
        <color rgb="FF6F8EAA"/>
      </left>
      <right/>
      <top/>
      <bottom style="thin">
        <color rgb="FFD9E1F2"/>
      </bottom>
      <diagonal/>
    </border>
    <border>
      <left style="thin">
        <color rgb="FFD6DEE6"/>
      </left>
      <right/>
      <top style="thin">
        <color rgb="FFD6DEE6"/>
      </top>
      <bottom style="thin">
        <color rgb="FFD6DEE6"/>
      </bottom>
      <diagonal/>
    </border>
    <border>
      <left/>
      <right style="thin">
        <color rgb="FFD6DEE6"/>
      </right>
      <top style="thin">
        <color rgb="FFD6DEE6"/>
      </top>
      <bottom style="thin">
        <color rgb="FFD6DEE6"/>
      </bottom>
      <diagonal/>
    </border>
    <border>
      <left style="thin">
        <color rgb="FFD6DEE6"/>
      </left>
      <right/>
      <top style="thin">
        <color rgb="FFD6DEE6"/>
      </top>
      <bottom/>
      <diagonal/>
    </border>
    <border>
      <left/>
      <right style="thin">
        <color rgb="FFD6DEE6"/>
      </right>
      <top style="thin">
        <color rgb="FFD6DEE6"/>
      </top>
      <bottom/>
      <diagonal/>
    </border>
    <border>
      <left style="thin">
        <color rgb="FFD6DEE6"/>
      </left>
      <right/>
      <top/>
      <bottom style="thin">
        <color rgb="FFD6DEE6"/>
      </bottom>
      <diagonal/>
    </border>
    <border>
      <left/>
      <right style="thin">
        <color rgb="FFD6DEE6"/>
      </right>
      <top/>
      <bottom style="thin">
        <color rgb="FFD6DEE6"/>
      </bottom>
      <diagonal/>
    </border>
    <border>
      <left style="thin">
        <color rgb="FFD6DEE6"/>
      </left>
      <right style="thin">
        <color rgb="FFD6DEE6"/>
      </right>
      <top style="thin">
        <color rgb="FFD6DEE6"/>
      </top>
      <bottom style="thin">
        <color rgb="FFD6DEE6"/>
      </bottom>
      <diagonal/>
    </border>
    <border>
      <left/>
      <right/>
      <top style="thin">
        <color rgb="FFD6DEE6"/>
      </top>
      <bottom/>
      <diagonal/>
    </border>
    <border>
      <left style="thin">
        <color rgb="FFD6DEE6"/>
      </left>
      <right/>
      <top/>
      <bottom/>
      <diagonal/>
    </border>
    <border>
      <left/>
      <right style="thin">
        <color rgb="FFD6DEE6"/>
      </right>
      <top/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3" fillId="5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6" borderId="3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6" fillId="8" borderId="0" applyAlignment="1" pivotButton="0" quotePrefix="0" xfId="0">
      <alignment vertical="center"/>
    </xf>
    <xf numFmtId="164" fontId="6" fillId="8" borderId="0" applyAlignment="1" pivotButton="0" quotePrefix="0" xfId="0">
      <alignment vertical="center"/>
    </xf>
    <xf numFmtId="9" fontId="6" fillId="8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3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wrapText="1"/>
    </xf>
    <xf numFmtId="0" fontId="16" fillId="7" borderId="0" applyAlignment="1" pivotButton="0" quotePrefix="0" xfId="0">
      <alignment vertical="center"/>
    </xf>
    <xf numFmtId="0" fontId="6" fillId="8" borderId="0" applyAlignment="1" pivotButton="0" quotePrefix="0" xfId="0">
      <alignment vertical="center" wrapText="1"/>
    </xf>
    <xf numFmtId="0" fontId="17" fillId="16" borderId="10" applyAlignment="1" pivotButton="0" quotePrefix="0" xfId="0">
      <alignment wrapText="1"/>
    </xf>
    <xf numFmtId="0" fontId="12" fillId="13" borderId="4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3" fontId="13" fillId="10" borderId="6" applyAlignment="1" pivotButton="0" quotePrefix="0" xfId="0">
      <alignment horizontal="center" vertical="center"/>
    </xf>
    <xf numFmtId="3" fontId="13" fillId="10" borderId="7" applyAlignment="1" pivotButton="0" quotePrefix="0" xfId="0">
      <alignment horizontal="center" vertical="center"/>
    </xf>
    <xf numFmtId="3" fontId="13" fillId="10" borderId="8" applyAlignment="1" pivotButton="0" quotePrefix="0" xfId="0">
      <alignment horizontal="center" vertical="center"/>
    </xf>
    <xf numFmtId="3" fontId="13" fillId="10" borderId="9" applyAlignment="1" pivotButton="0" quotePrefix="0" xfId="0">
      <alignment horizontal="center" vertical="center"/>
    </xf>
    <xf numFmtId="0" fontId="14" fillId="14" borderId="4" applyAlignment="1" pivotButton="0" quotePrefix="0" xfId="0">
      <alignment horizontal="center" vertical="center"/>
    </xf>
    <xf numFmtId="0" fontId="14" fillId="14" borderId="5" applyAlignment="1" pivotButton="0" quotePrefix="0" xfId="0">
      <alignment horizontal="center" vertical="center"/>
    </xf>
    <xf numFmtId="3" fontId="15" fillId="10" borderId="6" applyAlignment="1" pivotButton="0" quotePrefix="0" xfId="0">
      <alignment horizontal="center" vertical="center"/>
    </xf>
    <xf numFmtId="3" fontId="15" fillId="10" borderId="7" applyAlignment="1" pivotButton="0" quotePrefix="0" xfId="0">
      <alignment horizontal="center" vertical="center"/>
    </xf>
    <xf numFmtId="3" fontId="15" fillId="10" borderId="8" applyAlignment="1" pivotButton="0" quotePrefix="0" xfId="0">
      <alignment horizontal="center" vertical="center"/>
    </xf>
    <xf numFmtId="3" fontId="15" fillId="10" borderId="9" applyAlignment="1" pivotButton="0" quotePrefix="0" xfId="0">
      <alignment horizontal="center" vertical="center"/>
    </xf>
    <xf numFmtId="0" fontId="6" fillId="15" borderId="4" applyAlignment="1" pivotButton="0" quotePrefix="0" xfId="0">
      <alignment horizontal="center" vertical="center"/>
    </xf>
    <xf numFmtId="0" fontId="6" fillId="15" borderId="5" applyAlignment="1" pivotButton="0" quotePrefix="0" xfId="0">
      <alignment horizontal="center" vertical="center"/>
    </xf>
    <xf numFmtId="3" fontId="7" fillId="10" borderId="6" applyAlignment="1" pivotButton="0" quotePrefix="0" xfId="0">
      <alignment horizontal="center" vertical="center"/>
    </xf>
    <xf numFmtId="3" fontId="7" fillId="10" borderId="7" applyAlignment="1" pivotButton="0" quotePrefix="0" xfId="0">
      <alignment horizontal="center" vertical="center"/>
    </xf>
    <xf numFmtId="3" fontId="7" fillId="10" borderId="8" applyAlignment="1" pivotButton="0" quotePrefix="0" xfId="0">
      <alignment horizontal="center" vertical="center"/>
    </xf>
    <xf numFmtId="3" fontId="7" fillId="10" borderId="9" applyAlignment="1" pivotButton="0" quotePrefix="0" xfId="0">
      <alignment horizontal="center" vertical="center"/>
    </xf>
    <xf numFmtId="0" fontId="8" fillId="11" borderId="4" applyAlignment="1" pivotButton="0" quotePrefix="0" xfId="0">
      <alignment horizontal="center" vertical="center"/>
    </xf>
    <xf numFmtId="0" fontId="8" fillId="11" borderId="5" applyAlignment="1" pivotButton="0" quotePrefix="0" xfId="0">
      <alignment horizontal="center" vertical="center"/>
    </xf>
    <xf numFmtId="3" fontId="9" fillId="10" borderId="6" applyAlignment="1" pivotButton="0" quotePrefix="0" xfId="0">
      <alignment horizontal="center" vertical="center"/>
    </xf>
    <xf numFmtId="3" fontId="9" fillId="10" borderId="7" applyAlignment="1" pivotButton="0" quotePrefix="0" xfId="0">
      <alignment horizontal="center" vertical="center"/>
    </xf>
    <xf numFmtId="3" fontId="9" fillId="10" borderId="8" applyAlignment="1" pivotButton="0" quotePrefix="0" xfId="0">
      <alignment horizontal="center" vertical="center"/>
    </xf>
    <xf numFmtId="3" fontId="9" fillId="10" borderId="9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/>
    </xf>
    <xf numFmtId="0" fontId="6" fillId="9" borderId="4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10" fillId="12" borderId="4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/>
    </xf>
    <xf numFmtId="3" fontId="11" fillId="10" borderId="6" applyAlignment="1" pivotButton="0" quotePrefix="0" xfId="0">
      <alignment horizontal="center" vertical="center"/>
    </xf>
    <xf numFmtId="3" fontId="11" fillId="10" borderId="7" applyAlignment="1" pivotButton="0" quotePrefix="0" xfId="0">
      <alignment horizontal="center" vertical="center"/>
    </xf>
    <xf numFmtId="3" fontId="11" fillId="10" borderId="8" applyAlignment="1" pivotButton="0" quotePrefix="0" xfId="0">
      <alignment horizontal="center" vertical="center"/>
    </xf>
    <xf numFmtId="3" fontId="11" fillId="10" borderId="9" applyAlignment="1" pivotButton="0" quotePrefix="0" xfId="0">
      <alignment horizontal="center" vertical="center"/>
    </xf>
    <xf numFmtId="0" fontId="19" fillId="0" borderId="0" pivotButton="0" quotePrefix="0" xfId="0"/>
    <xf numFmtId="165" fontId="0" fillId="0" borderId="0" pivotButton="0" quotePrefix="0" xfId="0"/>
    <xf numFmtId="0" fontId="20" fillId="0" borderId="0" pivotButton="0" quotePrefix="0" xfId="0"/>
    <xf numFmtId="166" fontId="6" fillId="8" borderId="0" applyAlignment="1" pivotButton="0" quotePrefix="0" xfId="0">
      <alignment vertical="center"/>
    </xf>
    <xf numFmtId="0" fontId="6" fillId="9" borderId="10" applyAlignment="1" pivotButton="0" quotePrefix="0" xfId="0">
      <alignment horizontal="center" vertical="center"/>
    </xf>
    <xf numFmtId="0" fontId="0" fillId="0" borderId="5" pivotButton="0" quotePrefix="0" xfId="0"/>
    <xf numFmtId="0" fontId="8" fillId="11" borderId="10" applyAlignment="1" pivotButton="0" quotePrefix="0" xfId="0">
      <alignment horizontal="center" vertical="center"/>
    </xf>
    <xf numFmtId="0" fontId="10" fillId="12" borderId="10" applyAlignment="1" pivotButton="0" quotePrefix="0" xfId="0">
      <alignment horizontal="center" vertical="center"/>
    </xf>
    <xf numFmtId="0" fontId="12" fillId="13" borderId="10" applyAlignment="1" pivotButton="0" quotePrefix="0" xfId="0">
      <alignment horizontal="center" vertical="center"/>
    </xf>
    <xf numFmtId="3" fontId="7" fillId="10" borderId="10" applyAlignment="1" pivotButton="0" quotePrefix="0" xfId="0">
      <alignment horizontal="center" vertical="center"/>
    </xf>
    <xf numFmtId="0" fontId="0" fillId="0" borderId="7" pivotButton="0" quotePrefix="0" xfId="0"/>
    <xf numFmtId="3" fontId="9" fillId="10" borderId="10" applyAlignment="1" pivotButton="0" quotePrefix="0" xfId="0">
      <alignment horizontal="center" vertical="center"/>
    </xf>
    <xf numFmtId="3" fontId="11" fillId="10" borderId="10" applyAlignment="1" pivotButton="0" quotePrefix="0" xfId="0">
      <alignment horizontal="center" vertical="center"/>
    </xf>
    <xf numFmtId="3" fontId="13" fillId="10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4" fillId="14" borderId="10" applyAlignment="1" pivotButton="0" quotePrefix="0" xfId="0">
      <alignment horizontal="center" vertical="center"/>
    </xf>
    <xf numFmtId="0" fontId="6" fillId="15" borderId="10" applyAlignment="1" pivotButton="0" quotePrefix="0" xfId="0">
      <alignment horizontal="center" vertical="center"/>
    </xf>
    <xf numFmtId="3" fontId="15" fillId="10" borderId="10" applyAlignment="1" pivotButton="0" quotePrefix="0" xfId="0">
      <alignment horizontal="center" vertical="center"/>
    </xf>
    <xf numFmtId="165" fontId="0" fillId="0" borderId="0" pivotButton="0" quotePrefix="0" xfId="0"/>
    <xf numFmtId="166" fontId="6" fillId="8" borderId="0" applyAlignment="1" pivotButton="0" quotePrefix="0" xfId="0">
      <alignment vertical="center"/>
    </xf>
    <xf numFmtId="167" fontId="0" fillId="0" borderId="0" pivotButton="0" quotePrefix="0" xfId="0"/>
  </cellXfs>
  <cellStyles count="1">
    <cellStyle name="Normal" xfId="0" builtinId="0"/>
  </cellStyles>
  <dxfs count="24">
    <dxf>
      <font>
        <b val="1"/>
        <color rgb="FF9C0006"/>
      </font>
      <fill>
        <patternFill patternType="solid">
          <bgColor rgb="FFFCE4D6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2E6B3E"/>
      </font>
      <fill>
        <patternFill patternType="solid">
          <bgColor rgb="FFE2F0D9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color rgb="FF7F6000"/>
      </font>
      <fill>
        <patternFill patternType="solid">
          <bgColor rgb="FFFFF9E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2E6B3E"/>
      </font>
      <fill>
        <patternFill patternType="solid">
          <bgColor rgb="FFE2F0D9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color rgb="FF7F6000"/>
      </font>
      <fill>
        <patternFill patternType="solid">
          <bgColor rgb="FFFFF9E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bgColor rgb="FFFFF2F2"/>
        </patternFill>
      </fill>
    </dxf>
    <dxf>
      <font>
        <color rgb="FF548235"/>
      </font>
      <fill>
        <patternFill patternType="solid">
          <bgColor rgb="FFF2F8EF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Action-plan tracker generated from the audit/action-plan content in this conversation.</t>
      </text>
    </comment>
  </commentList>
</comments>
</file>

<file path=xl/tables/table1.xml><?xml version="1.0" encoding="utf-8"?>
<table xmlns="http://schemas.openxmlformats.org/spreadsheetml/2006/main" id="1" name="TrackerTable" displayName="TrackerTable" ref="A1:J106" headerRowCount="1">
  <autoFilter ref="A1:J106"/>
  <tableColumns count="10">
    <tableColumn id="1" name="ID"/>
    <tableColumn id="2" name="Workstream"/>
    <tableColumn id="3" name="Task"/>
    <tableColumn id="4" name="Owner"/>
    <tableColumn id="5" name="Priority"/>
    <tableColumn id="6" name="Status"/>
    <tableColumn id="7" name="Due Week"/>
    <tableColumn id="8" name="Target Date"/>
    <tableColumn id="9" name="Week Start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Workstreams" displayName="SummaryWorkstreams" ref="A12:G28" headerRowCount="1" totalsRowShown="0">
  <tableColumns count="7">
    <tableColumn id="1" name="Workstream"/>
    <tableColumn id="2" name="Task Count"/>
    <tableColumn id="3" name="Critical"/>
    <tableColumn id="4" name="High"/>
    <tableColumn id="5" name="Medium"/>
    <tableColumn id="6" name="Completed"/>
    <tableColumn id="7" name="Op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mportTable" displayName="ImportTable" ref="A1:I122" headerRowCount="1">
  <autoFilter ref="A1:I122"/>
  <tableColumns count="9">
    <tableColumn id="1" name="Outline Level"/>
    <tableColumn id="2" name="Summary"/>
    <tableColumn id="3" name="Task Name"/>
    <tableColumn id="4" name="Owner"/>
    <tableColumn id="5" name="Priority"/>
    <tableColumn id="6" name="Status"/>
    <tableColumn id="7" name="Start"/>
    <tableColumn id="8" name="Finish"/>
    <tableColumn id="9" name="Duration (day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2" t="inlineStr">
        <is>
          <t>SteelBuild Pro Action Plan — Changelog</t>
        </is>
      </c>
    </row>
    <row r="3">
      <c r="A3" t="inlineStr">
        <is>
          <t>As of</t>
        </is>
      </c>
      <c r="B3" s="81" t="n">
        <v>46228</v>
      </c>
    </row>
    <row r="4">
      <c r="A4" t="inlineStr">
        <is>
          <t>Source</t>
        </is>
      </c>
      <c r="B4" t="inlineStr">
        <is>
          <t>Updated from docs/action-plan/TASK_LEDGER.md + WORK_NEXT_SLICE.md (withProjectId) + merges #114–#121</t>
        </is>
      </c>
    </row>
    <row r="6">
      <c r="A6" s="64" t="inlineStr">
        <is>
          <t>Key completions since 2026-07-23 workbook</t>
        </is>
      </c>
    </row>
    <row r="7">
      <c r="A7" t="inlineStr">
        <is>
          <t>PR #114–#117: Piece Register restore, PMA removal, drawing/fab, piece-control, launch-readiness — on main + prod</t>
        </is>
      </c>
    </row>
    <row r="8">
      <c r="A8" t="inlineStr">
        <is>
          <t>PR #119: Action-plan hygiene, LS-auth removal, mutation helpers, ResourceScheduling helpers, Sentry fixes — merged + prod deploy</t>
        </is>
      </c>
    </row>
    <row r="9">
      <c r="A9" t="inlineStr">
        <is>
          <t>PR #120: TypeScript standard + priority business-rule TS conversions + check:no-new-js — merged + prod</t>
        </is>
      </c>
    </row>
    <row r="10">
      <c r="A10" t="inlineStr">
        <is>
          <t>Hosted migrations applied including 20260724120000/130000/140000/150000</t>
        </is>
      </c>
    </row>
    <row r="11">
      <c r="A11" t="inlineStr">
        <is>
          <t>Production: https://www.steelbuild-pro.com (deploy after #119)</t>
        </is>
      </c>
    </row>
    <row r="12">
      <c r="A12" t="inlineStr">
        <is>
          <t>Remaining blockers: staging UAT credentials, GitHub Actions billing limit, large-page thinning, universal mutation adoption (ID 50)</t>
        </is>
      </c>
    </row>
    <row r="14">
      <c r="A14" s="64" t="inlineStr">
        <is>
          <t>Status counts (Tracker)</t>
        </is>
      </c>
    </row>
    <row r="15">
      <c r="A15" t="inlineStr">
        <is>
          <t>Done</t>
        </is>
      </c>
      <c r="B15" t="n">
        <v>79</v>
      </c>
    </row>
    <row r="16">
      <c r="A16" t="inlineStr">
        <is>
          <t>In Progress</t>
        </is>
      </c>
      <c r="B16" t="n">
        <v>25</v>
      </c>
    </row>
    <row r="17">
      <c r="A17" t="inlineStr">
        <is>
          <t>Blocked</t>
        </is>
      </c>
      <c r="B17" t="n">
        <v>1</v>
      </c>
    </row>
    <row r="19">
      <c r="A19" t="inlineStr">
        <is>
          <t>Total tasks</t>
        </is>
      </c>
      <c r="B19" t="n">
        <v>105</v>
      </c>
    </row>
    <row r="20">
      <c r="A20" s="81" t="n"/>
    </row>
    <row r="21">
      <c r="A21" t="inlineStr">
        <is>
          <t>2026-07-25 next-slice: withProjectId write shaping on high-traffic creates; Done IDs 19/43/64/68/70/84/89/92/94/95/97/99/103-105</t>
        </is>
      </c>
    </row>
    <row r="22">
      <c r="A22" s="81" t="n">
        <v>46229</v>
      </c>
      <c r="B22" t="inlineStr">
        <is>
          <t>cursor/action-plan-next-slice-d3a1</t>
        </is>
      </c>
      <c r="C22" t="inlineStr">
        <is>
          <t>Adoption continuation: Submittals mutation helpers; withProjectId on CO/SOV/Procurement/Documents/Submittals; toUserErrorMessage on field/commercial toasts. IDs 21/48/50/52 remain Partial.</t>
        </is>
      </c>
    </row>
    <row r="23">
      <c r="A23" s="81" t="n">
        <v>46229</v>
      </c>
      <c r="B23" t="inlineStr">
        <is>
          <t>cursor/action-plan-next-slice-d3a1</t>
        </is>
      </c>
      <c r="C23" t="inlineStr">
        <is>
          <t>RFI mutation helpers (ID 23); withProjectId on ActionItems/DailyLogs/Constraints/LookAhead/WPs/FieldToday photos/EscalateModal/emailInbox.</t>
        </is>
      </c>
    </row>
    <row r="24">
      <c r="A24" s="81" t="n">
        <v>46229</v>
      </c>
      <c r="B24" t="inlineStr">
        <is>
          <t>cursor/action-plan-next-slice-d3a1</t>
        </is>
      </c>
      <c r="C24" t="inlineStr">
        <is>
          <t>Drawings mutation helpers (ID 27); withProjectId on FabRelease/ContractManagement/Schedule MPP import/comment dispositions/Deliveries alerts.</t>
        </is>
      </c>
    </row>
    <row r="25">
      <c r="A25" s="81" t="n">
        <v>46229</v>
      </c>
      <c r="B25" t="inlineStr">
        <is>
          <t>PR #123 merged + prod deploy</t>
        </is>
      </c>
      <c r="C25" t="inlineStr">
        <is>
          <t>withProjectId + mutation helpers (Submittals/RFIs/Drawings) + tracker Done 78 / IP 26 / Blocked 1. Local gates green; GH Actions billing still blocked.</t>
        </is>
      </c>
    </row>
    <row r="31">
      <c r="A31" s="83" t="n">
        <v>46229</v>
      </c>
      <c r="B31" t="inlineStr">
        <is>
          <t>cursor/action-plan-photos-safety-loading-d3a1</t>
        </is>
      </c>
      <c r="C31" t="inlineStr">
        <is>
          <t>ID 18: Photos + Safety INLINE LoadingSkeleton + error/empty gates (no RegisterFetchBody dep; complements PR #133).</t>
        </is>
      </c>
    </row>
    <row r="32">
      <c r="A32" s="83" t="n">
        <v>46229</v>
      </c>
      <c r="B32" t="inlineStr">
        <is>
          <t>field-loading</t>
        </is>
      </c>
      <c r="C32" t="inlineStr">
        <is>
          <t>Inspections INLINE gates + ProductionNote withProjectId; Done 79 / IP 25 / Blocked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tabSelected="1" workbookViewId="0">
      <selection activeCell="O17" sqref="O17"/>
    </sheetView>
  </sheetViews>
  <sheetFormatPr baseColWidth="8" defaultRowHeight="15"/>
  <cols>
    <col width="7" customWidth="1" min="1" max="1"/>
    <col width="24" customWidth="1" min="2" max="2"/>
    <col width="58" customWidth="1" min="3" max="3"/>
    <col width="23" customWidth="1" min="4" max="4"/>
    <col width="12" customWidth="1" min="5" max="5"/>
    <col width="17" customWidth="1" min="6" max="6"/>
    <col width="13" customWidth="1" min="7" max="7"/>
    <col width="15" customWidth="1" min="8" max="9"/>
    <col width="52" customWidth="1" style="5" min="10" max="10"/>
  </cols>
  <sheetData>
    <row r="1" ht="30" customHeight="1">
      <c r="A1" s="10" t="inlineStr">
        <is>
          <t>ID</t>
        </is>
      </c>
      <c r="B1" s="11" t="inlineStr">
        <is>
          <t>Workstream</t>
        </is>
      </c>
      <c r="C1" s="11" t="inlineStr">
        <is>
          <t>Task</t>
        </is>
      </c>
      <c r="D1" s="11" t="inlineStr">
        <is>
          <t>Owner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Due Week</t>
        </is>
      </c>
      <c r="H1" s="11" t="inlineStr">
        <is>
          <t>Target Date</t>
        </is>
      </c>
      <c r="I1" s="11" t="inlineStr">
        <is>
          <t>Week Start</t>
        </is>
      </c>
      <c r="J1" s="9" t="inlineStr">
        <is>
          <t>Notes</t>
        </is>
      </c>
    </row>
    <row r="2" ht="32.1" customHeight="1">
      <c r="A2" s="12" t="n">
        <v>1</v>
      </c>
      <c r="B2" s="1" t="inlineStr">
        <is>
          <t>Immediate Stabilization</t>
        </is>
      </c>
      <c r="C2" s="14" t="inlineStr">
        <is>
          <t>Identify every duplicated module under src/&lt;module&gt; and src/components/&lt;module&gt;</t>
        </is>
      </c>
      <c r="D2" s="6" t="inlineStr">
        <is>
          <t>Engineering</t>
        </is>
      </c>
      <c r="E2" s="15" t="inlineStr">
        <is>
          <t>Critical</t>
        </is>
      </c>
      <c r="F2" s="13" t="inlineStr">
        <is>
          <t>Done</t>
        </is>
      </c>
      <c r="G2" s="13" t="inlineStr">
        <is>
          <t>Week 1</t>
        </is>
      </c>
      <c r="H2" s="18" t="n">
        <v>46228</v>
      </c>
      <c r="I2" s="18" t="n">
        <v>46228</v>
      </c>
      <c r="J2" s="7" t="inlineStr">
        <is>
          <t>Completed 2026-07-24. Duplicate inventory in docs/action-plan/DUPLICATE_INVENTORY.md (PR #119).</t>
        </is>
      </c>
    </row>
    <row r="3" ht="32.1" customHeight="1">
      <c r="A3" s="12" t="n">
        <v>2</v>
      </c>
      <c r="B3" s="1" t="inlineStr">
        <is>
          <t>Immediate Stabilization</t>
        </is>
      </c>
      <c r="C3" s="14" t="inlineStr">
        <is>
          <t>Choose one canonical location for each duplicated file</t>
        </is>
      </c>
      <c r="D3" s="6" t="inlineStr">
        <is>
          <t>Engineering</t>
        </is>
      </c>
      <c r="E3" s="15" t="inlineStr">
        <is>
          <t>Critical</t>
        </is>
      </c>
      <c r="F3" s="13" t="inlineStr">
        <is>
          <t>Done</t>
        </is>
      </c>
      <c r="G3" s="13" t="inlineStr">
        <is>
          <t>Week 1</t>
        </is>
      </c>
      <c r="H3" s="18" t="n">
        <v>46229</v>
      </c>
      <c r="I3" s="18" t="n">
        <v>46229</v>
      </c>
      <c r="J3" s="7" t="inlineStr">
        <is>
          <t>Completed 2026-07-24. Canonical ownership chosen; see DUPLICATE_INVENTORY.md + folder-ownership.md.</t>
        </is>
      </c>
    </row>
    <row r="4" ht="32.1" customHeight="1">
      <c r="A4" s="12" t="n">
        <v>3</v>
      </c>
      <c r="B4" s="1" t="inlineStr">
        <is>
          <t>Immediate Stabilization</t>
        </is>
      </c>
      <c r="C4" s="14" t="inlineStr">
        <is>
          <t>Replace duplicate copies with imports/re-exports temporarily</t>
        </is>
      </c>
      <c r="D4" s="6" t="inlineStr">
        <is>
          <t>Engineering</t>
        </is>
      </c>
      <c r="E4" s="15" t="inlineStr">
        <is>
          <t>Critical</t>
        </is>
      </c>
      <c r="F4" s="13" t="inlineStr">
        <is>
          <t>Done</t>
        </is>
      </c>
      <c r="G4" s="13" t="inlineStr">
        <is>
          <t>Week 1</t>
        </is>
      </c>
      <c r="H4" s="18" t="n">
        <v>46230</v>
      </c>
      <c r="I4" s="18" t="n">
        <v>46230</v>
      </c>
      <c r="J4" s="7" t="inlineStr">
        <is>
          <t>Completed 2026-07-24. Risky duplicates replaced with re-exports (e.g. ImpactBoard → Panel).</t>
        </is>
      </c>
    </row>
    <row r="5" ht="32.1" customHeight="1">
      <c r="A5" s="12" t="n">
        <v>4</v>
      </c>
      <c r="B5" s="1" t="inlineStr">
        <is>
          <t>Immediate Stabilization</t>
        </is>
      </c>
      <c r="C5" s="14" t="inlineStr">
        <is>
          <t>Delete stale duplicate implementations after verification</t>
        </is>
      </c>
      <c r="D5" s="6" t="inlineStr">
        <is>
          <t>Engineering</t>
        </is>
      </c>
      <c r="E5" s="16" t="inlineStr">
        <is>
          <t>High</t>
        </is>
      </c>
      <c r="F5" s="13" t="inlineStr">
        <is>
          <t>Done</t>
        </is>
      </c>
      <c r="G5" s="13" t="inlineStr">
        <is>
          <t>Week 2</t>
        </is>
      </c>
      <c r="H5" s="18" t="n">
        <v>46231</v>
      </c>
      <c r="I5" s="18" t="n">
        <v>46231</v>
      </c>
      <c r="J5" s="7" t="inlineStr">
        <is>
          <t>Completed 2026-07-24. Deleted dead viewer/**, WeeklySummary orphans, app-params.js, AuthCallbackError, BulkActionBar.</t>
        </is>
      </c>
    </row>
    <row r="6" ht="32.1" customHeight="1">
      <c r="A6" s="12" t="n">
        <v>5</v>
      </c>
      <c r="B6" s="1" t="inlineStr">
        <is>
          <t>Immediate Stabilization</t>
        </is>
      </c>
      <c r="C6" s="14" t="inlineStr">
        <is>
          <t>Document final folder ownership rules</t>
        </is>
      </c>
      <c r="D6" s="6" t="inlineStr">
        <is>
          <t>Engineering</t>
        </is>
      </c>
      <c r="E6" s="16" t="inlineStr">
        <is>
          <t>High</t>
        </is>
      </c>
      <c r="F6" s="13" t="inlineStr">
        <is>
          <t>Done</t>
        </is>
      </c>
      <c r="G6" s="13" t="inlineStr">
        <is>
          <t>Week 2</t>
        </is>
      </c>
      <c r="H6" s="18" t="n">
        <v>46232</v>
      </c>
      <c r="I6" s="18" t="n">
        <v>46232</v>
      </c>
      <c r="J6" s="7" t="inlineStr">
        <is>
          <t>Completed 2026-07-24. docs/architecture/folder-ownership.md published.</t>
        </is>
      </c>
    </row>
    <row r="7" ht="32.1" customHeight="1">
      <c r="A7" s="12" t="n">
        <v>6</v>
      </c>
      <c r="B7" s="1" t="inlineStr">
        <is>
          <t>Broken Workflow Fixes</t>
        </is>
      </c>
      <c r="C7" s="14" t="inlineStr">
        <is>
          <t>Confirm task creation no longer causes disappearing records</t>
        </is>
      </c>
      <c r="D7" s="6" t="inlineStr">
        <is>
          <t>Engineering / QA</t>
        </is>
      </c>
      <c r="E7" s="15" t="inlineStr">
        <is>
          <t>Critical</t>
        </is>
      </c>
      <c r="F7" s="13" t="inlineStr">
        <is>
          <t>Done</t>
        </is>
      </c>
      <c r="G7" s="13" t="inlineStr">
        <is>
          <t>Week 1</t>
        </is>
      </c>
      <c r="H7" s="18" t="n">
        <v>46233</v>
      </c>
      <c r="I7" s="18" t="n">
        <v>46233</v>
      </c>
      <c r="J7" s="7" t="inlineStr">
        <is>
          <t>Completed 2026-07-24. Task persistence sanitize + taskPersistence.test.ts (PR #119).</t>
        </is>
      </c>
    </row>
    <row r="8" ht="32.1" customHeight="1">
      <c r="A8" s="12" t="n">
        <v>7</v>
      </c>
      <c r="B8" s="1" t="inlineStr">
        <is>
          <t>Broken Workflow Fixes</t>
        </is>
      </c>
      <c r="C8" s="14" t="inlineStr">
        <is>
          <t>Fix cost codes save behavior</t>
        </is>
      </c>
      <c r="D8" s="6" t="inlineStr">
        <is>
          <t>Engineering</t>
        </is>
      </c>
      <c r="E8" s="15" t="inlineStr">
        <is>
          <t>Critical</t>
        </is>
      </c>
      <c r="F8" s="13" t="inlineStr">
        <is>
          <t>Done</t>
        </is>
      </c>
      <c r="G8" s="13" t="inlineStr">
        <is>
          <t>Week 1</t>
        </is>
      </c>
      <c r="H8" s="18" t="n">
        <v>46226</v>
      </c>
      <c r="I8" s="18" t="n">
        <v>46234</v>
      </c>
      <c r="J8" s="7" t="inlineStr">
        <is>
          <t>Completed earlier + re-verified. costCodeSave + soft-delete + unique index migration 20260724140000.</t>
        </is>
      </c>
    </row>
    <row r="9" ht="32.1" customHeight="1">
      <c r="A9" s="12" t="n">
        <v>8</v>
      </c>
      <c r="B9" s="1" t="inlineStr">
        <is>
          <t>Broken Workflow Fixes</t>
        </is>
      </c>
      <c r="C9" s="14" t="inlineStr">
        <is>
          <t>Fix contracts save behavior</t>
        </is>
      </c>
      <c r="D9" s="6" t="inlineStr">
        <is>
          <t>Engineering</t>
        </is>
      </c>
      <c r="E9" s="15" t="inlineStr">
        <is>
          <t>Critical</t>
        </is>
      </c>
      <c r="F9" s="13" t="inlineStr">
        <is>
          <t>Done</t>
        </is>
      </c>
      <c r="G9" s="13" t="inlineStr">
        <is>
          <t>Week 1</t>
        </is>
      </c>
      <c r="H9" s="18" t="n">
        <v>46226</v>
      </c>
      <c r="I9" s="18" t="n">
        <v>46235</v>
      </c>
      <c r="J9" s="7" t="inlineStr">
        <is>
          <t>Completed earlier + re-verified. ContractManagement + projectUpdateEvents.</t>
        </is>
      </c>
    </row>
    <row r="10" ht="32.1" customHeight="1">
      <c r="A10" s="12" t="n">
        <v>9</v>
      </c>
      <c r="B10" s="1" t="inlineStr">
        <is>
          <t>Broken Workflow Fixes</t>
        </is>
      </c>
      <c r="C10" s="14" t="inlineStr">
        <is>
          <t>Fix change order edit behavior</t>
        </is>
      </c>
      <c r="D10" s="6" t="inlineStr">
        <is>
          <t>Engineering</t>
        </is>
      </c>
      <c r="E10" s="15" t="inlineStr">
        <is>
          <t>Critical</t>
        </is>
      </c>
      <c r="F10" s="13" t="inlineStr">
        <is>
          <t>Done</t>
        </is>
      </c>
      <c r="G10" s="13" t="inlineStr">
        <is>
          <t>Week 1</t>
        </is>
      </c>
      <c r="H10" s="18" t="n">
        <v>46226</v>
      </c>
      <c r="I10" s="18" t="n">
        <v>46236</v>
      </c>
      <c r="J10" s="7" t="inlineStr">
        <is>
          <t>Completed earlier + re-verified. changeOrderPayload whitelist + tests.</t>
        </is>
      </c>
    </row>
    <row r="11" ht="32.1" customHeight="1">
      <c r="A11" s="12" t="n">
        <v>10</v>
      </c>
      <c r="B11" s="1" t="inlineStr">
        <is>
          <t>Broken Workflow Fixes</t>
        </is>
      </c>
      <c r="C11" s="14" t="inlineStr">
        <is>
          <t>Fix change order delete behavior</t>
        </is>
      </c>
      <c r="D11" s="6" t="inlineStr">
        <is>
          <t>Engineering</t>
        </is>
      </c>
      <c r="E11" s="15" t="inlineStr">
        <is>
          <t>Critical</t>
        </is>
      </c>
      <c r="F11" s="13" t="inlineStr">
        <is>
          <t>Done</t>
        </is>
      </c>
      <c r="G11" s="13" t="inlineStr">
        <is>
          <t>Week 1</t>
        </is>
      </c>
      <c r="H11" s="18" t="n">
        <v>46226</v>
      </c>
      <c r="I11" s="18" t="n">
        <v>46237</v>
      </c>
      <c r="J11" s="7" t="inlineStr">
        <is>
          <t>Completed earlier + re-verified. CO archive/soft-delete in CoControlCenter.</t>
        </is>
      </c>
    </row>
    <row r="12" ht="32.1" customHeight="1">
      <c r="A12" s="12" t="n">
        <v>11</v>
      </c>
      <c r="B12" s="1" t="inlineStr">
        <is>
          <t>Broken Workflow Fixes</t>
        </is>
      </c>
      <c r="C12" s="14" t="inlineStr">
        <is>
          <t>Fix checklist item behavior</t>
        </is>
      </c>
      <c r="D12" s="6" t="inlineStr">
        <is>
          <t>Engineering</t>
        </is>
      </c>
      <c r="E12" s="15" t="inlineStr">
        <is>
          <t>Critical</t>
        </is>
      </c>
      <c r="F12" s="13" t="inlineStr">
        <is>
          <t>Done</t>
        </is>
      </c>
      <c r="G12" s="13" t="inlineStr">
        <is>
          <t>Week 1</t>
        </is>
      </c>
      <c r="H12" s="18" t="n">
        <v>46226</v>
      </c>
      <c r="I12" s="18" t="n">
        <v>46238</v>
      </c>
      <c r="J12" s="7" t="inlineStr">
        <is>
          <t>Completed earlier + re-verified. closeoutPayload mapping + tests.</t>
        </is>
      </c>
    </row>
    <row r="13" ht="32.1" customHeight="1">
      <c r="A13" s="12" t="n">
        <v>12</v>
      </c>
      <c r="B13" s="1" t="inlineStr">
        <is>
          <t>Broken Workflow Fixes</t>
        </is>
      </c>
      <c r="C13" s="14" t="inlineStr">
        <is>
          <t>Fix PMA nonfunctional paths</t>
        </is>
      </c>
      <c r="D13" s="6" t="inlineStr">
        <is>
          <t>Engineering</t>
        </is>
      </c>
      <c r="E13" s="15" t="inlineStr">
        <is>
          <t>Critical</t>
        </is>
      </c>
      <c r="F13" s="13" t="inlineStr">
        <is>
          <t>Done</t>
        </is>
      </c>
      <c r="G13" s="13" t="inlineStr">
        <is>
          <t>Week 1</t>
        </is>
      </c>
      <c r="H13" s="18" t="n">
        <v>46226</v>
      </c>
      <c r="I13" s="18" t="n">
        <v>46239</v>
      </c>
      <c r="J13" s="7" t="inlineStr">
        <is>
          <t>Completed 2026-07-24. PMA removed from runtime (UI/routes/clients/tests); pmaRemoval.test.ts. Deployed to prod.</t>
        </is>
      </c>
    </row>
    <row r="14" ht="45" customFormat="1" customHeight="1" s="8">
      <c r="A14" s="13" t="n">
        <v>13</v>
      </c>
      <c r="B14" s="6" t="inlineStr">
        <is>
          <t>Broken Workflow Fixes</t>
        </is>
      </c>
      <c r="C14" s="14" t="inlineStr">
        <is>
          <t>Audit drawing workflow pain points and list exact failures</t>
        </is>
      </c>
      <c r="D14" s="6" t="inlineStr">
        <is>
          <t>Engineering / PM</t>
        </is>
      </c>
      <c r="E14" s="16" t="inlineStr">
        <is>
          <t>High</t>
        </is>
      </c>
      <c r="F14" s="13" t="inlineStr">
        <is>
          <t>Done</t>
        </is>
      </c>
      <c r="G14" s="13" t="inlineStr">
        <is>
          <t>Week 1</t>
        </is>
      </c>
      <c r="H14" s="18" t="n">
        <v>46226</v>
      </c>
      <c r="I14" s="18" t="n">
        <v>46240</v>
      </c>
      <c r="J14" s="7" t="inlineStr">
        <is>
          <t>Completed 7/21/2026. Drawing workflow failures were isolated and documented; PDF render race corrected in PR #96 with viewer regression tests.</t>
        </is>
      </c>
    </row>
    <row r="15" ht="32.1" customHeight="1">
      <c r="A15" s="12" t="n">
        <v>14</v>
      </c>
      <c r="B15" s="1" t="inlineStr">
        <is>
          <t>Broken Workflow Fixes</t>
        </is>
      </c>
      <c r="C15" s="14" t="inlineStr">
        <is>
          <t>Verify SteelBuild-Pro sync reliability</t>
        </is>
      </c>
      <c r="D15" s="6" t="inlineStr">
        <is>
          <t>Engineering</t>
        </is>
      </c>
      <c r="E15" s="15" t="inlineStr">
        <is>
          <t>Critical</t>
        </is>
      </c>
      <c r="F15" s="13" t="inlineStr">
        <is>
          <t>Done</t>
        </is>
      </c>
      <c r="G15" s="13" t="inlineStr">
        <is>
          <t>Week 1</t>
        </is>
      </c>
      <c r="H15" s="18" t="n">
        <v>46241</v>
      </c>
      <c r="I15" s="18" t="n">
        <v>46241</v>
      </c>
      <c r="J15" s="7" t="inlineStr">
        <is>
          <t>Completed 2026-07-24 (hardened). SharePoint Sync Now honesty (no last_sync_at bump, sync_enabled=false); shipping-list piece-sync warnings; shipping-ticket deliveries-only copy; Data Exchange skipped-create reporting. See WORK_14_17.md.</t>
        </is>
      </c>
    </row>
    <row r="16" ht="32.1" customHeight="1">
      <c r="A16" s="12" t="n">
        <v>15</v>
      </c>
      <c r="B16" s="1" t="inlineStr">
        <is>
          <t>Broken Workflow Fixes</t>
        </is>
      </c>
      <c r="C16" s="14" t="inlineStr">
        <is>
          <t>Retest all corrected flows end to end</t>
        </is>
      </c>
      <c r="D16" s="6" t="inlineStr">
        <is>
          <t>QA</t>
        </is>
      </c>
      <c r="E16" s="15" t="inlineStr">
        <is>
          <t>Critical</t>
        </is>
      </c>
      <c r="F16" s="13" t="inlineStr">
        <is>
          <t>Done</t>
        </is>
      </c>
      <c r="G16" s="13" t="inlineStr">
        <is>
          <t>Week 1</t>
        </is>
      </c>
      <c r="H16" s="18" t="n">
        <v>46242</v>
      </c>
      <c r="I16" s="18" t="n">
        <v>46242</v>
      </c>
      <c r="J16" s="7" t="inlineStr">
        <is>
          <t>Completed 2026-07-24 for automated retest. npm run test:corrected-flows — 18 files / 155 tests PASS. Report: RETEST_CORRECTED_FLOWS.md. Interactive staging UAT still ID 102.</t>
        </is>
      </c>
    </row>
    <row r="17" ht="32.1" customHeight="1">
      <c r="A17" s="12" t="n">
        <v>16</v>
      </c>
      <c r="B17" s="1" t="inlineStr">
        <is>
          <t>Runtime Stability</t>
        </is>
      </c>
      <c r="C17" s="14" t="inlineStr">
        <is>
          <t>Find and fix remaining React hook-order violations</t>
        </is>
      </c>
      <c r="D17" s="6" t="inlineStr">
        <is>
          <t>Engineering</t>
        </is>
      </c>
      <c r="E17" s="15" t="inlineStr">
        <is>
          <t>Critical</t>
        </is>
      </c>
      <c r="F17" s="13" t="inlineStr">
        <is>
          <t>Done</t>
        </is>
      </c>
      <c r="G17" s="13" t="inlineStr">
        <is>
          <t>Week 1</t>
        </is>
      </c>
      <c r="H17" s="18" t="n">
        <v>46243</v>
      </c>
      <c r="I17" s="18" t="n">
        <v>46243</v>
      </c>
      <c r="J17" s="7" t="inlineStr">
        <is>
          <t>Completed 2026-07-24. ESLint react-hooks/rules-of-hooks clean across src/; npm run check:hooks. AST scan of large pages found 0 early-return-before-hooks.</t>
        </is>
      </c>
    </row>
    <row r="18" ht="32.1" customHeight="1">
      <c r="A18" s="12" t="n">
        <v>17</v>
      </c>
      <c r="B18" s="1" t="inlineStr">
        <is>
          <t>Runtime Stability</t>
        </is>
      </c>
      <c r="C18" s="14" t="inlineStr">
        <is>
          <t>Review console errors and warnings across major pages</t>
        </is>
      </c>
      <c r="D18" s="6" t="inlineStr">
        <is>
          <t>Engineering / QA</t>
        </is>
      </c>
      <c r="E18" s="16" t="inlineStr">
        <is>
          <t>High</t>
        </is>
      </c>
      <c r="F18" s="13" t="inlineStr">
        <is>
          <t>Done</t>
        </is>
      </c>
      <c r="G18" s="13" t="inlineStr">
        <is>
          <t>Week 1</t>
        </is>
      </c>
      <c r="H18" s="18" t="n">
        <v>46244</v>
      </c>
      <c r="I18" s="18" t="n">
        <v>46244</v>
      </c>
      <c r="J18" s="7" t="inlineStr">
        <is>
          <t>Completed 2026-07-24. Reviewed unresolved Sentry (javascript-react). Residual: CSP-RO vercel.live/inline noise, staging EnvValidation (ops), pre-deploy model-elements timeouts (monitor post-#119). See WORK_14_17.md.</t>
        </is>
      </c>
    </row>
    <row r="19" ht="32.1" customHeight="1">
      <c r="A19" s="12" t="n">
        <v>18</v>
      </c>
      <c r="B19" s="1" t="inlineStr">
        <is>
          <t>Runtime Stability</t>
        </is>
      </c>
      <c r="C19" s="14" t="inlineStr">
        <is>
          <t>Add loading, empty, and error states to critical modules</t>
        </is>
      </c>
      <c r="D19" s="6" t="inlineStr">
        <is>
          <t>Engineering</t>
        </is>
      </c>
      <c r="E19" s="16" t="inlineStr">
        <is>
          <t>High</t>
        </is>
      </c>
      <c r="F19" s="13" t="inlineStr">
        <is>
          <t>Done</t>
        </is>
      </c>
      <c r="G19" s="13" t="inlineStr">
        <is>
          <t>Week 2</t>
        </is>
      </c>
      <c r="H19" s="18" t="n">
        <v>46245</v>
      </c>
      <c r="I19" s="18" t="n">
        <v>46245</v>
      </c>
      <c r="J19" s="7" t="inlineStr">
        <is>
          <t>Done 2026-07-26. Photos/Safety INLINE + thin CRUD RegisterFetchBody (#133/#137); Inspections INLINE + ProductionNotes skeleton. Not universal.</t>
        </is>
      </c>
    </row>
    <row r="20" ht="32.1" customHeight="1">
      <c r="A20" s="12" t="n">
        <v>19</v>
      </c>
      <c r="B20" s="1" t="inlineStr">
        <is>
          <t>Runtime Stability</t>
        </is>
      </c>
      <c r="C20" s="14" t="inlineStr">
        <is>
          <t>Add fallback handling for null project / null entity states</t>
        </is>
      </c>
      <c r="D20" s="6" t="inlineStr">
        <is>
          <t>Engineering</t>
        </is>
      </c>
      <c r="E20" s="16" t="inlineStr">
        <is>
          <t>High</t>
        </is>
      </c>
      <c r="F20" s="13" t="inlineStr">
        <is>
          <t>Done</t>
        </is>
      </c>
      <c r="G20" s="13" t="inlineStr">
        <is>
          <t>Week 2</t>
        </is>
      </c>
      <c r="H20" s="18" t="n">
        <v>46246</v>
      </c>
      <c r="I20" s="18" t="n">
        <v>46246</v>
      </c>
      <c r="J20" s="7" t="inlineStr">
        <is>
          <t>Completed 2026-07-25. Null-project guards + withProjectId/assertProjectId on high-traffic creates (field/QC/schedule/drawings/expenses/budget/resources/transmittals).</t>
        </is>
      </c>
    </row>
    <row r="21" ht="32.1" customHeight="1">
      <c r="A21" s="12" t="n">
        <v>20</v>
      </c>
      <c r="B21" s="1" t="inlineStr">
        <is>
          <t>Runtime Stability</t>
        </is>
      </c>
      <c r="C21" s="14" t="inlineStr">
        <is>
          <t>Verify modals and drawers do not break on missing data</t>
        </is>
      </c>
      <c r="D21" s="6" t="inlineStr">
        <is>
          <t>QA</t>
        </is>
      </c>
      <c r="E21" s="16" t="inlineStr">
        <is>
          <t>High</t>
        </is>
      </c>
      <c r="F21" s="13" t="inlineStr">
        <is>
          <t>In Progress</t>
        </is>
      </c>
      <c r="G21" s="13" t="inlineStr">
        <is>
          <t>Week 2</t>
        </is>
      </c>
      <c r="H21" s="18" t="n">
        <v>46247</v>
      </c>
      <c r="I21" s="18" t="n">
        <v>46247</v>
      </c>
      <c r="J21" s="7" t="inlineStr">
        <is>
          <t>Modal/drawer project-switch safety varies by module; needs interactive UAT.</t>
        </is>
      </c>
    </row>
    <row r="22" ht="32.1" customHeight="1">
      <c r="A22" s="12" t="n">
        <v>21</v>
      </c>
      <c r="B22" s="1" t="inlineStr">
        <is>
          <t>Codebase Cleanup</t>
        </is>
      </c>
      <c r="C22" s="14" t="inlineStr">
        <is>
          <t>Refactor src/pages/Submittals.jsx</t>
        </is>
      </c>
      <c r="D22" s="6" t="inlineStr">
        <is>
          <t>Engineering</t>
        </is>
      </c>
      <c r="E22" s="15" t="inlineStr">
        <is>
          <t>Critical</t>
        </is>
      </c>
      <c r="F22" s="13" t="inlineStr">
        <is>
          <t>In Progress</t>
        </is>
      </c>
      <c r="G22" s="13" t="inlineStr">
        <is>
          <t>Week 2</t>
        </is>
      </c>
      <c r="H22" s="18" t="n">
        <v>46248</v>
      </c>
      <c r="I22" s="18" t="n">
        <v>46248</v>
      </c>
      <c r="J22" s="7" t="inlineStr">
        <is>
          <t>Partial 2026-07-26. submittalMutationHelpers extracted + tested; withProjectId on create/round/sheet/bulk. Shell still ~1k LOC.</t>
        </is>
      </c>
    </row>
    <row r="23" ht="32.1" customHeight="1">
      <c r="A23" s="12" t="n">
        <v>22</v>
      </c>
      <c r="B23" s="1" t="inlineStr">
        <is>
          <t>Codebase Cleanup</t>
        </is>
      </c>
      <c r="C23" s="14" t="inlineStr">
        <is>
          <t>Refactor src/pages/Constraints.jsx</t>
        </is>
      </c>
      <c r="D23" s="6" t="inlineStr">
        <is>
          <t>Engineering</t>
        </is>
      </c>
      <c r="E23" s="16" t="inlineStr">
        <is>
          <t>High</t>
        </is>
      </c>
      <c r="F23" s="13" t="inlineStr">
        <is>
          <t>In Progress</t>
        </is>
      </c>
      <c r="G23" s="13" t="inlineStr">
        <is>
          <t>Week 3</t>
        </is>
      </c>
      <c r="H23" s="18" t="n">
        <v>46249</v>
      </c>
      <c r="I23" s="18" t="n">
        <v>46249</v>
      </c>
      <c r="J23" s="7" t="inlineStr">
        <is>
          <t>Constraints already split under pages/constraints/; shell ~403 LOC.</t>
        </is>
      </c>
    </row>
    <row r="24" ht="32.1" customHeight="1">
      <c r="A24" s="12" t="n">
        <v>23</v>
      </c>
      <c r="B24" s="1" t="inlineStr">
        <is>
          <t>Codebase Cleanup</t>
        </is>
      </c>
      <c r="C24" s="14" t="inlineStr">
        <is>
          <t>Refactor src/pages/RFIs.jsx</t>
        </is>
      </c>
      <c r="D24" s="6" t="inlineStr">
        <is>
          <t>Engineering</t>
        </is>
      </c>
      <c r="E24" s="15" t="inlineStr">
        <is>
          <t>Critical</t>
        </is>
      </c>
      <c r="F24" s="13" t="inlineStr">
        <is>
          <t>In Progress</t>
        </is>
      </c>
      <c r="G24" s="13" t="inlineStr">
        <is>
          <t>Week 2</t>
        </is>
      </c>
      <c r="H24" s="18" t="n">
        <v>46250</v>
      </c>
      <c r="I24" s="18" t="n">
        <v>46250</v>
      </c>
      <c r="J24" s="7" t="inlineStr">
        <is>
          <t>Partial 2026-07-26. rfiMutationHelpers extracted + tested; create/alert/doc attach use withProjectId. Shell still ~600 LOC.</t>
        </is>
      </c>
    </row>
    <row r="25" ht="32.1" customHeight="1">
      <c r="A25" s="12" t="n">
        <v>24</v>
      </c>
      <c r="B25" s="1" t="inlineStr">
        <is>
          <t>Codebase Cleanup</t>
        </is>
      </c>
      <c r="C25" s="14" t="inlineStr">
        <is>
          <t>Refactor src/pages/ResourceScheduling.jsx</t>
        </is>
      </c>
      <c r="D25" s="6" t="inlineStr">
        <is>
          <t>Engineering</t>
        </is>
      </c>
      <c r="E25" s="16" t="inlineStr">
        <is>
          <t>High</t>
        </is>
      </c>
      <c r="F25" s="13" t="inlineStr">
        <is>
          <t>Done</t>
        </is>
      </c>
      <c r="G25" s="13" t="inlineStr">
        <is>
          <t>Week 3</t>
        </is>
      </c>
      <c r="H25" s="18" t="n">
        <v>46251</v>
      </c>
      <c r="I25" s="18" t="n">
        <v>46251</v>
      </c>
      <c r="J25" s="7" t="inlineStr">
        <is>
          <t>Completed 2026-07-24. Pure helpers extracted to pages/resourceScheduling/resourceSchedulingHelpers.ts (+27 tests); page is orchestrator (PR #119).</t>
        </is>
      </c>
    </row>
    <row r="26" ht="32.1" customHeight="1">
      <c r="A26" s="12" t="n">
        <v>25</v>
      </c>
      <c r="B26" s="1" t="inlineStr">
        <is>
          <t>Codebase Cleanup</t>
        </is>
      </c>
      <c r="C26" s="14" t="inlineStr">
        <is>
          <t>Refactor src/Layout.jsx</t>
        </is>
      </c>
      <c r="D26" s="6" t="inlineStr">
        <is>
          <t>Engineering</t>
        </is>
      </c>
      <c r="E26" s="16" t="inlineStr">
        <is>
          <t>High</t>
        </is>
      </c>
      <c r="F26" s="13" t="inlineStr">
        <is>
          <t>In Progress</t>
        </is>
      </c>
      <c r="G26" s="13" t="inlineStr">
        <is>
          <t>Week 3</t>
        </is>
      </c>
      <c r="H26" s="18" t="n">
        <v>46252</v>
      </c>
      <c r="I26" s="18" t="n">
        <v>46252</v>
      </c>
      <c r="J26" s="7" t="inlineStr">
        <is>
          <t>Layout reduced to shell (~429 LOC); further thinning optional.</t>
        </is>
      </c>
    </row>
    <row r="27" ht="32.1" customHeight="1">
      <c r="A27" s="12" t="n">
        <v>26</v>
      </c>
      <c r="B27" s="1" t="inlineStr">
        <is>
          <t>Codebase Cleanup</t>
        </is>
      </c>
      <c r="C27" s="14" t="inlineStr">
        <is>
          <t>Refactor src/pages/Deliveries.jsx</t>
        </is>
      </c>
      <c r="D27" s="6" t="inlineStr">
        <is>
          <t>Engineering</t>
        </is>
      </c>
      <c r="E27" s="16" t="inlineStr">
        <is>
          <t>High</t>
        </is>
      </c>
      <c r="F27" s="13" t="inlineStr">
        <is>
          <t>In Progress</t>
        </is>
      </c>
      <c r="G27" s="13" t="inlineStr">
        <is>
          <t>Week 3</t>
        </is>
      </c>
      <c r="H27" s="18" t="n">
        <v>46253</v>
      </c>
      <c r="I27" s="18" t="n">
        <v>46253</v>
      </c>
      <c r="J27" s="7" t="inlineStr">
        <is>
          <t>Deliveries already split under pages/deliveries/; further extraction optional.</t>
        </is>
      </c>
    </row>
    <row r="28" ht="32.1" customHeight="1">
      <c r="A28" s="12" t="n">
        <v>27</v>
      </c>
      <c r="B28" s="1" t="inlineStr">
        <is>
          <t>Codebase Cleanup</t>
        </is>
      </c>
      <c r="C28" s="14" t="inlineStr">
        <is>
          <t>Refactor src/pages/Drawings.jsx</t>
        </is>
      </c>
      <c r="D28" s="6" t="inlineStr">
        <is>
          <t>Engineering</t>
        </is>
      </c>
      <c r="E28" s="15" t="inlineStr">
        <is>
          <t>Critical</t>
        </is>
      </c>
      <c r="F28" s="13" t="inlineStr">
        <is>
          <t>In Progress</t>
        </is>
      </c>
      <c r="G28" s="13" t="inlineStr">
        <is>
          <t>Week 2</t>
        </is>
      </c>
      <c r="H28" s="18" t="n">
        <v>46254</v>
      </c>
      <c r="I28" s="18" t="n">
        <v>46254</v>
      </c>
      <c r="J28" s="7" t="inlineStr">
        <is>
          <t>Partial 2026-07-26. drawingMutationHelpers extracted + tested; create/delete-set toast helpers. Shell still ~1k LOC; hub remains canonical.</t>
        </is>
      </c>
    </row>
    <row r="29" ht="32.1" customHeight="1">
      <c r="A29" s="12" t="n">
        <v>28</v>
      </c>
      <c r="B29" s="1" t="inlineStr">
        <is>
          <t>Repo Hygiene</t>
        </is>
      </c>
      <c r="C29" s="14" t="inlineStr">
        <is>
          <t>Remove stale root-level duplicate folders</t>
        </is>
      </c>
      <c r="D29" s="6" t="inlineStr">
        <is>
          <t>Engineering</t>
        </is>
      </c>
      <c r="E29" s="16" t="inlineStr">
        <is>
          <t>High</t>
        </is>
      </c>
      <c r="F29" s="13" t="inlineStr">
        <is>
          <t>Done</t>
        </is>
      </c>
      <c r="G29" s="13" t="inlineStr">
        <is>
          <t>Week 2</t>
        </is>
      </c>
      <c r="H29" s="18" t="n">
        <v>46255</v>
      </c>
      <c r="I29" s="18" t="n">
        <v>46255</v>
      </c>
      <c r="J29" s="7" t="inlineStr">
        <is>
          <t>Completed 2026-07-24. No stale root duplicate folders found.</t>
        </is>
      </c>
    </row>
    <row r="30" ht="32.1" customHeight="1">
      <c r="A30" s="12" t="n">
        <v>29</v>
      </c>
      <c r="B30" s="1" t="inlineStr">
        <is>
          <t>Repo Hygiene</t>
        </is>
      </c>
      <c r="C30" s="14" t="inlineStr">
        <is>
          <t>Remove old zip/tgz artifacts from repo workflow</t>
        </is>
      </c>
      <c r="D30" s="6" t="inlineStr">
        <is>
          <t>Engineering</t>
        </is>
      </c>
      <c r="E30" s="17" t="inlineStr">
        <is>
          <t>Medium</t>
        </is>
      </c>
      <c r="F30" s="13" t="inlineStr">
        <is>
          <t>Done</t>
        </is>
      </c>
      <c r="G30" s="13" t="inlineStr">
        <is>
          <t>Week 2</t>
        </is>
      </c>
      <c r="H30" s="18" t="n">
        <v>46256</v>
      </c>
      <c r="I30" s="18" t="n">
        <v>46256</v>
      </c>
      <c r="J30" s="7" t="inlineStr">
        <is>
          <t>Completed 2026-07-24. No tracked zip/tgz; .gitignore blocks archives.</t>
        </is>
      </c>
    </row>
    <row r="31" ht="32.1" customHeight="1">
      <c r="A31" s="12" t="n">
        <v>30</v>
      </c>
      <c r="B31" s="1" t="inlineStr">
        <is>
          <t>Repo Hygiene</t>
        </is>
      </c>
      <c r="C31" s="14" t="inlineStr">
        <is>
          <t>Remove logs from tracked workspace</t>
        </is>
      </c>
      <c r="D31" s="6" t="inlineStr">
        <is>
          <t>Engineering</t>
        </is>
      </c>
      <c r="E31" s="17" t="inlineStr">
        <is>
          <t>Medium</t>
        </is>
      </c>
      <c r="F31" s="13" t="inlineStr">
        <is>
          <t>Done</t>
        </is>
      </c>
      <c r="G31" s="13" t="inlineStr">
        <is>
          <t>Week 2</t>
        </is>
      </c>
      <c r="H31" s="18" t="n">
        <v>46257</v>
      </c>
      <c r="I31" s="18" t="n">
        <v>46257</v>
      </c>
      <c r="J31" s="7" t="inlineStr">
        <is>
          <t>Completed 2026-07-24. Logs ignored; none tracked.</t>
        </is>
      </c>
    </row>
    <row r="32" ht="32.1" customHeight="1">
      <c r="A32" s="12" t="n">
        <v>31</v>
      </c>
      <c r="B32" s="1" t="inlineStr">
        <is>
          <t>Repo Hygiene</t>
        </is>
      </c>
      <c r="C32" s="14" t="inlineStr">
        <is>
          <t>Remove or isolate dist from source repo workflow</t>
        </is>
      </c>
      <c r="D32" s="6" t="inlineStr">
        <is>
          <t>Engineering</t>
        </is>
      </c>
      <c r="E32" s="17" t="inlineStr">
        <is>
          <t>Medium</t>
        </is>
      </c>
      <c r="F32" s="13" t="inlineStr">
        <is>
          <t>Done</t>
        </is>
      </c>
      <c r="G32" s="13" t="inlineStr">
        <is>
          <t>Week 2</t>
        </is>
      </c>
      <c r="H32" s="18" t="n">
        <v>46258</v>
      </c>
      <c r="I32" s="18" t="n">
        <v>46258</v>
      </c>
      <c r="J32" s="7" t="inlineStr">
        <is>
          <t>Completed earlier. dist/ untracked via .gitignore.</t>
        </is>
      </c>
    </row>
    <row r="33" ht="32.1" customHeight="1">
      <c r="A33" s="12" t="n">
        <v>32</v>
      </c>
      <c r="B33" s="1" t="inlineStr">
        <is>
          <t>Repo Hygiene</t>
        </is>
      </c>
      <c r="C33" s="14" t="inlineStr">
        <is>
          <t>Confirm .env.local is not exposed improperly</t>
        </is>
      </c>
      <c r="D33" s="6" t="inlineStr">
        <is>
          <t>Engineering</t>
        </is>
      </c>
      <c r="E33" s="15" t="inlineStr">
        <is>
          <t>Critical</t>
        </is>
      </c>
      <c r="F33" s="13" t="inlineStr">
        <is>
          <t>Done</t>
        </is>
      </c>
      <c r="G33" s="13" t="inlineStr">
        <is>
          <t>Week 2</t>
        </is>
      </c>
      <c r="H33" s="18" t="n">
        <v>46259</v>
      </c>
      <c r="I33" s="18" t="n">
        <v>46259</v>
      </c>
      <c r="J33" s="7" t="inlineStr">
        <is>
          <t>Completed earlier. Only .env.example tracked; secrets not in git.</t>
        </is>
      </c>
    </row>
    <row r="34" ht="32.1" customHeight="1">
      <c r="A34" s="12" t="n">
        <v>33</v>
      </c>
      <c r="B34" s="1" t="inlineStr">
        <is>
          <t>Repo Hygiene</t>
        </is>
      </c>
      <c r="C34" s="14" t="inlineStr">
        <is>
          <t>Update .gitignore if needed</t>
        </is>
      </c>
      <c r="D34" s="6" t="inlineStr">
        <is>
          <t>Engineering</t>
        </is>
      </c>
      <c r="E34" s="17" t="inlineStr">
        <is>
          <t>Medium</t>
        </is>
      </c>
      <c r="F34" s="13" t="inlineStr">
        <is>
          <t>Done</t>
        </is>
      </c>
      <c r="G34" s="13" t="inlineStr">
        <is>
          <t>Week 2</t>
        </is>
      </c>
      <c r="H34" s="18" t="n">
        <v>46260</v>
      </c>
      <c r="I34" s="18" t="n">
        <v>46260</v>
      </c>
      <c r="J34" s="7" t="inlineStr">
        <is>
          <t>Completed 2026-07-24. .gitignore extended (coverage, archives, playwright, /exports/ anchor).</t>
        </is>
      </c>
    </row>
    <row r="35" ht="32.1" customHeight="1">
      <c r="A35" s="12" t="n">
        <v>34</v>
      </c>
      <c r="B35" s="1" t="inlineStr">
        <is>
          <t>Repo Hygiene</t>
        </is>
      </c>
      <c r="C35" s="14" t="inlineStr">
        <is>
          <t>Clean repo for multi-developer work</t>
        </is>
      </c>
      <c r="D35" s="6" t="inlineStr">
        <is>
          <t>Engineering</t>
        </is>
      </c>
      <c r="E35" s="16" t="inlineStr">
        <is>
          <t>High</t>
        </is>
      </c>
      <c r="F35" s="13" t="inlineStr">
        <is>
          <t>Done</t>
        </is>
      </c>
      <c r="G35" s="13" t="inlineStr">
        <is>
          <t>Week 2</t>
        </is>
      </c>
      <c r="H35" s="18" t="n">
        <v>46261</v>
      </c>
      <c r="I35" s="18" t="n">
        <v>46261</v>
      </c>
      <c r="J35" s="7" t="inlineStr">
        <is>
          <t>Completed 2026-07-24. Single package-lock.json; contributor docs cleaned.</t>
        </is>
      </c>
    </row>
    <row r="36" ht="32.1" customHeight="1">
      <c r="A36" s="12" t="n">
        <v>35</v>
      </c>
      <c r="B36" s="1" t="inlineStr">
        <is>
          <t>Structure Standardization</t>
        </is>
      </c>
      <c r="C36" s="14" t="inlineStr">
        <is>
          <t>Define folder rules for pages/components/hooks/services/utils/entities</t>
        </is>
      </c>
      <c r="D36" s="6" t="inlineStr">
        <is>
          <t>Engineering Lead</t>
        </is>
      </c>
      <c r="E36" s="16" t="inlineStr">
        <is>
          <t>High</t>
        </is>
      </c>
      <c r="F36" s="13" t="inlineStr">
        <is>
          <t>Done</t>
        </is>
      </c>
      <c r="G36" s="13" t="inlineStr">
        <is>
          <t>Week 2</t>
        </is>
      </c>
      <c r="H36" s="18" t="n">
        <v>46262</v>
      </c>
      <c r="I36" s="18" t="n">
        <v>46262</v>
      </c>
      <c r="J36" s="7" t="inlineStr">
        <is>
          <t>Completed 2026-07-24. Folder rules in docs/architecture/folder-ownership.md.</t>
        </is>
      </c>
    </row>
    <row r="37" ht="32.1" customHeight="1">
      <c r="A37" s="12" t="n">
        <v>36</v>
      </c>
      <c r="B37" s="1" t="inlineStr">
        <is>
          <t>Structure Standardization</t>
        </is>
      </c>
      <c r="C37" s="14" t="inlineStr">
        <is>
          <t>Move shared UI to one shared location</t>
        </is>
      </c>
      <c r="D37" s="6" t="inlineStr">
        <is>
          <t>Engineering</t>
        </is>
      </c>
      <c r="E37" s="16" t="inlineStr">
        <is>
          <t>High</t>
        </is>
      </c>
      <c r="F37" s="13" t="inlineStr">
        <is>
          <t>In Progress</t>
        </is>
      </c>
      <c r="G37" s="13" t="inlineStr">
        <is>
          <t>Week 3</t>
        </is>
      </c>
      <c r="H37" s="18" t="n">
        <v>46263</v>
      </c>
      <c r="I37" s="18" t="n">
        <v>46263</v>
      </c>
      <c r="J37" s="7" t="inlineStr">
        <is>
          <t>Shared UI in design-system/ + components/ui; some page-local FilterBar/EmptyState retained intentionally.</t>
        </is>
      </c>
    </row>
    <row r="38" ht="32.1" customHeight="1">
      <c r="A38" s="12" t="n">
        <v>37</v>
      </c>
      <c r="B38" s="1" t="inlineStr">
        <is>
          <t>Structure Standardization</t>
        </is>
      </c>
      <c r="C38" s="14" t="inlineStr">
        <is>
          <t>Move workflow logic out of generic UI folders</t>
        </is>
      </c>
      <c r="D38" s="6" t="inlineStr">
        <is>
          <t>Engineering</t>
        </is>
      </c>
      <c r="E38" s="16" t="inlineStr">
        <is>
          <t>High</t>
        </is>
      </c>
      <c r="F38" s="13" t="inlineStr">
        <is>
          <t>In Progress</t>
        </is>
      </c>
      <c r="G38" s="13" t="inlineStr">
        <is>
          <t>Week 3</t>
        </is>
      </c>
      <c r="H38" s="18" t="n">
        <v>46264</v>
      </c>
      <c r="I38" s="18" t="n">
        <v>46264</v>
      </c>
      <c r="J38" s="7" t="inlineStr">
        <is>
          <t>Business logic extraction ongoing; mutation helpers + ResourceScheduling helpers landed.</t>
        </is>
      </c>
    </row>
    <row r="39" ht="32.1" customHeight="1">
      <c r="A39" s="12" t="n">
        <v>38</v>
      </c>
      <c r="B39" s="1" t="inlineStr">
        <is>
          <t>Structure Standardization</t>
        </is>
      </c>
      <c r="C39" s="14" t="inlineStr">
        <is>
          <t>Publish short architecture note for future edits</t>
        </is>
      </c>
      <c r="D39" s="6" t="inlineStr">
        <is>
          <t>Engineering Lead</t>
        </is>
      </c>
      <c r="E39" s="17" t="inlineStr">
        <is>
          <t>Medium</t>
        </is>
      </c>
      <c r="F39" s="13" t="inlineStr">
        <is>
          <t>Done</t>
        </is>
      </c>
      <c r="G39" s="13" t="inlineStr">
        <is>
          <t>Week 3</t>
        </is>
      </c>
      <c r="H39" s="18" t="n">
        <v>46265</v>
      </c>
      <c r="I39" s="18" t="n">
        <v>46265</v>
      </c>
      <c r="J39" s="7" t="inlineStr">
        <is>
          <t>Completed 2026-07-24. Architecture notes: folder-ownership.md + typescript-standard.md (PR #120).</t>
        </is>
      </c>
    </row>
    <row r="40" ht="32.1" customFormat="1" customHeight="1" s="8">
      <c r="A40" s="13" t="n">
        <v>39</v>
      </c>
      <c r="B40" s="6" t="inlineStr">
        <is>
          <t>Engineering Discipline</t>
        </is>
      </c>
      <c r="C40" s="14" t="inlineStr">
        <is>
          <t>Confirm local lint script works consistently</t>
        </is>
      </c>
      <c r="D40" s="6" t="inlineStr">
        <is>
          <t>Engineering</t>
        </is>
      </c>
      <c r="E40" s="15" t="inlineStr">
        <is>
          <t>Critical</t>
        </is>
      </c>
      <c r="F40" s="13" t="inlineStr">
        <is>
          <t>Done</t>
        </is>
      </c>
      <c r="G40" s="13" t="inlineStr">
        <is>
          <t>Week 1</t>
        </is>
      </c>
      <c r="H40" s="18" t="n">
        <v>46266</v>
      </c>
      <c r="I40" s="18" t="n">
        <v>46266</v>
      </c>
      <c r="J40" s="7" t="inlineStr">
        <is>
          <t>Completed 7/21/2026. Local lint repeatedly passed across PRs #92-#108 and is enforced in CI.</t>
        </is>
      </c>
    </row>
    <row r="41" ht="32.1" customFormat="1" customHeight="1" s="8">
      <c r="A41" s="13" t="n">
        <v>40</v>
      </c>
      <c r="B41" s="6" t="inlineStr">
        <is>
          <t>Engineering Discipline</t>
        </is>
      </c>
      <c r="C41" s="14" t="inlineStr">
        <is>
          <t>Confirm local typecheck script works consistently</t>
        </is>
      </c>
      <c r="D41" s="6" t="inlineStr">
        <is>
          <t>Engineering</t>
        </is>
      </c>
      <c r="E41" s="15" t="inlineStr">
        <is>
          <t>Critical</t>
        </is>
      </c>
      <c r="F41" s="13" t="inlineStr">
        <is>
          <t>Done</t>
        </is>
      </c>
      <c r="G41" s="13" t="inlineStr">
        <is>
          <t>Week 1</t>
        </is>
      </c>
      <c r="H41" s="18" t="n">
        <v>46267</v>
      </c>
      <c r="I41" s="18" t="n">
        <v>46267</v>
      </c>
      <c r="J41" s="7" t="inlineStr">
        <is>
          <t>Completed 7/21/2026. Local typecheck and expanded type gates repeatedly passed across PRs #92-#108.</t>
        </is>
      </c>
    </row>
    <row r="42" ht="32.1" customFormat="1" customHeight="1" s="8">
      <c r="A42" s="13" t="n">
        <v>41</v>
      </c>
      <c r="B42" s="6" t="inlineStr">
        <is>
          <t>Engineering Discipline</t>
        </is>
      </c>
      <c r="C42" s="14" t="inlineStr">
        <is>
          <t>Fix highest-risk lint errors first</t>
        </is>
      </c>
      <c r="D42" s="6" t="inlineStr">
        <is>
          <t>Engineering</t>
        </is>
      </c>
      <c r="E42" s="16" t="inlineStr">
        <is>
          <t>High</t>
        </is>
      </c>
      <c r="F42" s="13" t="inlineStr">
        <is>
          <t>Done</t>
        </is>
      </c>
      <c r="G42" s="13" t="inlineStr">
        <is>
          <t>Week 2</t>
        </is>
      </c>
      <c r="H42" s="18" t="n">
        <v>46268</v>
      </c>
      <c r="I42" s="18" t="n">
        <v>46268</v>
      </c>
      <c r="J42" s="7" t="inlineStr">
        <is>
          <t>Completed 7/21/2026. Highest-risk lint/CI issues were corrected; production CI passed on Node 24 in PR #93.</t>
        </is>
      </c>
    </row>
    <row r="43" ht="32.1" customFormat="1" customHeight="1" s="8">
      <c r="A43" s="13" t="n">
        <v>42</v>
      </c>
      <c r="B43" s="6" t="inlineStr">
        <is>
          <t>Engineering Discipline</t>
        </is>
      </c>
      <c r="C43" s="14" t="inlineStr">
        <is>
          <t>Fix unused imports and dead code</t>
        </is>
      </c>
      <c r="D43" s="6" t="inlineStr">
        <is>
          <t>Engineering</t>
        </is>
      </c>
      <c r="E43" s="17" t="inlineStr">
        <is>
          <t>Medium</t>
        </is>
      </c>
      <c r="F43" s="13" t="inlineStr">
        <is>
          <t>Done</t>
        </is>
      </c>
      <c r="G43" s="13" t="inlineStr">
        <is>
          <t>Week 3</t>
        </is>
      </c>
      <c r="H43" s="18" t="n">
        <v>46269</v>
      </c>
      <c r="I43" s="18" t="n">
        <v>46269</v>
      </c>
      <c r="J43" s="7" t="inlineStr">
        <is>
          <t>Completed 2026-07-24. Dead imports/modules removed (viewer orphans, app-params, AuthCallbackError, WeeklySummary).</t>
        </is>
      </c>
    </row>
    <row r="44" customFormat="1" s="8">
      <c r="A44" s="13" t="n">
        <v>43</v>
      </c>
      <c r="B44" s="6" t="inlineStr">
        <is>
          <t>Engineering Discipline</t>
        </is>
      </c>
      <c r="C44" s="14" t="inlineStr">
        <is>
          <t>Fix prop/type/state issues in critical workflows first</t>
        </is>
      </c>
      <c r="D44" s="6" t="inlineStr">
        <is>
          <t>Engineering</t>
        </is>
      </c>
      <c r="E44" s="15" t="inlineStr">
        <is>
          <t>Critical</t>
        </is>
      </c>
      <c r="F44" s="13" t="inlineStr">
        <is>
          <t>Done</t>
        </is>
      </c>
      <c r="G44" s="13" t="inlineStr">
        <is>
          <t>Week 2</t>
        </is>
      </c>
      <c r="H44" s="18" t="n">
        <v>46270</v>
      </c>
      <c r="I44" s="18" t="n">
        <v>46270</v>
      </c>
      <c r="J44" s="7" t="inlineStr">
        <is>
          <t>Completed 2026-07-25. Critical workflow typing gated in CI (strict + noImplicitAny); priority business-rule modules converted (PR #120). Remaining JS converts when repaired.</t>
        </is>
      </c>
    </row>
    <row r="45" ht="45" customFormat="1" customHeight="1" s="8">
      <c r="A45" s="13" t="n">
        <v>44</v>
      </c>
      <c r="B45" s="6" t="inlineStr">
        <is>
          <t>Engineering Discipline</t>
        </is>
      </c>
      <c r="C45" s="14" t="inlineStr">
        <is>
          <t>Expand type coverage to src/lib, src/api, and src/components/ui</t>
        </is>
      </c>
      <c r="D45" s="6" t="inlineStr">
        <is>
          <t>Engineering</t>
        </is>
      </c>
      <c r="E45" s="16" t="inlineStr">
        <is>
          <t>High</t>
        </is>
      </c>
      <c r="F45" s="13" t="inlineStr">
        <is>
          <t>Done</t>
        </is>
      </c>
      <c r="G45" s="13" t="inlineStr">
        <is>
          <t>Week 3</t>
        </is>
      </c>
      <c r="H45" s="18" t="n">
        <v>46271</v>
      </c>
      <c r="I45" s="18" t="n">
        <v>46271</v>
      </c>
      <c r="J45" s="7" t="inlineStr">
        <is>
          <t>Completed 7/21/2026. Type validation expanded through JS, strict, and noImplicitAny gates; new findings are enforced while legacy debt remains tracked.</t>
        </is>
      </c>
    </row>
    <row r="46" ht="30" customFormat="1" customHeight="1" s="8">
      <c r="A46" s="13" t="n">
        <v>45</v>
      </c>
      <c r="B46" s="6" t="inlineStr">
        <is>
          <t>Engineering Discipline</t>
        </is>
      </c>
      <c r="C46" s="14" t="inlineStr">
        <is>
          <t>Stop excluding important folders from type validation</t>
        </is>
      </c>
      <c r="D46" s="6" t="inlineStr">
        <is>
          <t>Engineering</t>
        </is>
      </c>
      <c r="E46" s="16" t="inlineStr">
        <is>
          <t>High</t>
        </is>
      </c>
      <c r="F46" s="13" t="inlineStr">
        <is>
          <t>Done</t>
        </is>
      </c>
      <c r="G46" s="13" t="inlineStr">
        <is>
          <t>Week 3</t>
        </is>
      </c>
      <c r="H46" s="18" t="n">
        <v>46272</v>
      </c>
      <c r="I46" s="18" t="n">
        <v>46272</v>
      </c>
      <c r="J46" s="7" t="inlineStr">
        <is>
          <t>Completed 7/21/2026. Important source and backend areas are included in the expanded validation gates.</t>
        </is>
      </c>
    </row>
    <row r="47" ht="45" customFormat="1" customHeight="1" s="8">
      <c r="A47" s="13" t="n">
        <v>46</v>
      </c>
      <c r="B47" s="6" t="inlineStr">
        <is>
          <t>Engineering Discipline</t>
        </is>
      </c>
      <c r="C47" s="14" t="inlineStr">
        <is>
          <t>Add lint/typecheck to PR workflow or CI</t>
        </is>
      </c>
      <c r="D47" s="6" t="inlineStr">
        <is>
          <t>Engineering</t>
        </is>
      </c>
      <c r="E47" s="16" t="inlineStr">
        <is>
          <t>High</t>
        </is>
      </c>
      <c r="F47" s="13" t="inlineStr">
        <is>
          <t>Done</t>
        </is>
      </c>
      <c r="G47" s="13" t="inlineStr">
        <is>
          <t>Week 4</t>
        </is>
      </c>
      <c r="H47" s="18" t="n">
        <v>46273</v>
      </c>
      <c r="I47" s="18" t="n">
        <v>46273</v>
      </c>
      <c r="J47" s="7" t="inlineStr">
        <is>
          <t>Completed 7/21/2026. Lint and typecheck gates are active in GitHub CI; PR #93 modernized the workflow to Node 24.</t>
        </is>
      </c>
    </row>
    <row r="48" ht="32.1" customFormat="1" customHeight="1" s="8">
      <c r="A48" s="13" t="n">
        <v>47</v>
      </c>
      <c r="B48" s="6" t="inlineStr">
        <is>
          <t>State &amp; Mutations</t>
        </is>
      </c>
      <c r="C48" s="14" t="inlineStr">
        <is>
          <t>Create one standard pattern for fetch + transform + save</t>
        </is>
      </c>
      <c r="D48" s="6" t="inlineStr">
        <is>
          <t>Engineering</t>
        </is>
      </c>
      <c r="E48" s="16" t="inlineStr">
        <is>
          <t>High</t>
        </is>
      </c>
      <c r="F48" s="13" t="inlineStr">
        <is>
          <t>Done</t>
        </is>
      </c>
      <c r="G48" s="13" t="inlineStr">
        <is>
          <t>Week 3</t>
        </is>
      </c>
      <c r="H48" s="18" t="n">
        <v>46274</v>
      </c>
      <c r="I48" s="18" t="n">
        <v>46274</v>
      </c>
      <c r="J48" s="7" t="inlineStr">
        <is>
          <t>Completed 2026-07-24. src/lib/mutations/standardMutation.ts introduced.</t>
        </is>
      </c>
    </row>
    <row r="49" ht="32.1" customFormat="1" customHeight="1" s="8">
      <c r="A49" s="13" t="n">
        <v>48</v>
      </c>
      <c r="B49" s="6" t="inlineStr">
        <is>
          <t>State &amp; Mutations</t>
        </is>
      </c>
      <c r="C49" s="14" t="inlineStr">
        <is>
          <t>Create one standard pattern for mutation success/error toasts</t>
        </is>
      </c>
      <c r="D49" s="6" t="inlineStr">
        <is>
          <t>Engineering</t>
        </is>
      </c>
      <c r="E49" s="17" t="inlineStr">
        <is>
          <t>Medium</t>
        </is>
      </c>
      <c r="F49" s="13" t="inlineStr">
        <is>
          <t>In Progress</t>
        </is>
      </c>
      <c r="G49" s="13" t="inlineStr">
        <is>
          <t>Week 3</t>
        </is>
      </c>
      <c r="H49" s="18" t="n">
        <v>46275</v>
      </c>
      <c r="I49" s="18" t="n">
        <v>46275</v>
      </c>
      <c r="J49" s="7" t="inlineStr">
        <is>
          <t>Partial 2026-07-26. toUserErrorMessage across field/commercial/RFIs/ops/email escalate — not universal yet.</t>
        </is>
      </c>
    </row>
    <row r="50" ht="32.1" customFormat="1" customHeight="1" s="8">
      <c r="A50" s="13" t="n">
        <v>49</v>
      </c>
      <c r="B50" s="6" t="inlineStr">
        <is>
          <t>State &amp; Mutations</t>
        </is>
      </c>
      <c r="C50" s="14" t="inlineStr">
        <is>
          <t>Create one standard pattern for reload/refetch after save</t>
        </is>
      </c>
      <c r="D50" s="6" t="inlineStr">
        <is>
          <t>Engineering</t>
        </is>
      </c>
      <c r="E50" s="16" t="inlineStr">
        <is>
          <t>High</t>
        </is>
      </c>
      <c r="F50" s="13" t="inlineStr">
        <is>
          <t>Done</t>
        </is>
      </c>
      <c r="G50" s="13" t="inlineStr">
        <is>
          <t>Week 3</t>
        </is>
      </c>
      <c r="H50" s="18" t="n">
        <v>46276</v>
      </c>
      <c r="I50" s="18" t="n">
        <v>46276</v>
      </c>
      <c r="J50" s="7" t="inlineStr">
        <is>
          <t>Completed 2026-07-24. invalidateAfterMutation helper + cacheRegistry.</t>
        </is>
      </c>
    </row>
    <row r="51" ht="32.1" customFormat="1" customHeight="1" s="8">
      <c r="A51" s="13" t="n">
        <v>50</v>
      </c>
      <c r="B51" s="6" t="inlineStr">
        <is>
          <t>State &amp; Mutations</t>
        </is>
      </c>
      <c r="C51" s="14" t="inlineStr">
        <is>
          <t>Eliminate page-local ad hoc mutation logic</t>
        </is>
      </c>
      <c r="D51" s="6" t="inlineStr">
        <is>
          <t>Engineering</t>
        </is>
      </c>
      <c r="E51" s="16" t="inlineStr">
        <is>
          <t>High</t>
        </is>
      </c>
      <c r="F51" s="13" t="inlineStr">
        <is>
          <t>In Progress</t>
        </is>
      </c>
      <c r="G51" s="13" t="inlineStr">
        <is>
          <t>Week 4</t>
        </is>
      </c>
      <c r="H51" s="18" t="n">
        <v>46277</v>
      </c>
      <c r="I51" s="18" t="n">
        <v>46277</v>
      </c>
      <c r="J51" s="7" t="inlineStr">
        <is>
          <t>Partial 2026-07-26. ProductionNote.create via withProjectId(row project_id); prior field/commercial/import wiring; #139–#141 open.</t>
        </is>
      </c>
    </row>
    <row r="52" ht="32.1" customFormat="1" customHeight="1" s="8">
      <c r="A52" s="13" t="n">
        <v>51</v>
      </c>
      <c r="B52" s="6" t="inlineStr">
        <is>
          <t>State &amp; Mutations</t>
        </is>
      </c>
      <c r="C52" s="14" t="inlineStr">
        <is>
          <t>Review optimistic update behavior for reliability</t>
        </is>
      </c>
      <c r="D52" s="6" t="inlineStr">
        <is>
          <t>Engineering</t>
        </is>
      </c>
      <c r="E52" s="16" t="inlineStr">
        <is>
          <t>High</t>
        </is>
      </c>
      <c r="F52" s="13" t="inlineStr">
        <is>
          <t>In Progress</t>
        </is>
      </c>
      <c r="G52" s="13" t="inlineStr">
        <is>
          <t>Week 4</t>
        </is>
      </c>
      <c r="H52" s="18" t="n">
        <v>46278</v>
      </c>
      <c r="I52" s="18" t="n">
        <v>46278</v>
      </c>
      <c r="J52" s="7" t="inlineStr">
        <is>
          <t>Critical optimistic paths reviewed in prior PRs; not universal.</t>
        </is>
      </c>
    </row>
    <row r="53" ht="32.1" customFormat="1" customHeight="1" s="8">
      <c r="A53" s="13" t="n">
        <v>52</v>
      </c>
      <c r="B53" s="6" t="inlineStr">
        <is>
          <t>State &amp; Mutations</t>
        </is>
      </c>
      <c r="C53" s="14" t="inlineStr">
        <is>
          <t>Ensure state cannot silently drift from backend truth</t>
        </is>
      </c>
      <c r="D53" s="6" t="inlineStr">
        <is>
          <t>Engineering</t>
        </is>
      </c>
      <c r="E53" s="15" t="inlineStr">
        <is>
          <t>Critical</t>
        </is>
      </c>
      <c r="F53" s="13" t="inlineStr">
        <is>
          <t>In Progress</t>
        </is>
      </c>
      <c r="G53" s="13" t="inlineStr">
        <is>
          <t>Week 4</t>
        </is>
      </c>
      <c r="H53" s="18" t="n">
        <v>46279</v>
      </c>
      <c r="I53" s="18" t="n">
        <v>46279</v>
      </c>
      <c r="J53" s="7" t="inlineStr">
        <is>
          <t>Partial 2026-07-26. Write shaping advanced across flagship + ops pages; concurrent-edit E2E still open.</t>
        </is>
      </c>
    </row>
    <row r="54" ht="32.1" customFormat="1" customHeight="1" s="8">
      <c r="A54" s="13" t="n">
        <v>53</v>
      </c>
      <c r="B54" s="6" t="inlineStr">
        <is>
          <t>Logic Extraction</t>
        </is>
      </c>
      <c r="C54" s="14" t="inlineStr">
        <is>
          <t>Extract KPI calculations into utilities/services</t>
        </is>
      </c>
      <c r="D54" s="6" t="inlineStr">
        <is>
          <t>Engineering</t>
        </is>
      </c>
      <c r="E54" s="16" t="inlineStr">
        <is>
          <t>High</t>
        </is>
      </c>
      <c r="F54" s="13" t="inlineStr">
        <is>
          <t>In Progress</t>
        </is>
      </c>
      <c r="G54" s="13" t="inlineStr">
        <is>
          <t>Week 3</t>
        </is>
      </c>
      <c r="H54" s="18" t="n">
        <v>46280</v>
      </c>
      <c r="I54" s="18" t="n">
        <v>46280</v>
      </c>
      <c r="J54" s="7" t="inlineStr">
        <is>
          <t>Many KPI derives extracted (portfolio/financial/etc.); continue as pages are refactored.</t>
        </is>
      </c>
    </row>
    <row r="55" ht="32.1" customFormat="1" customHeight="1" s="8">
      <c r="A55" s="13" t="n">
        <v>54</v>
      </c>
      <c r="B55" s="6" t="inlineStr">
        <is>
          <t>Logic Extraction</t>
        </is>
      </c>
      <c r="C55" s="14" t="inlineStr">
        <is>
          <t>Extract entity transformation logic into shared helpers</t>
        </is>
      </c>
      <c r="D55" s="6" t="inlineStr">
        <is>
          <t>Engineering</t>
        </is>
      </c>
      <c r="E55" s="16" t="inlineStr">
        <is>
          <t>High</t>
        </is>
      </c>
      <c r="F55" s="13" t="inlineStr">
        <is>
          <t>In Progress</t>
        </is>
      </c>
      <c r="G55" s="13" t="inlineStr">
        <is>
          <t>Week 3</t>
        </is>
      </c>
      <c r="H55" s="18" t="n">
        <v>46281</v>
      </c>
      <c r="I55" s="18" t="n">
        <v>46281</v>
      </c>
      <c r="J55" s="7" t="inlineStr">
        <is>
          <t>Payload helpers for CO/cost/closeout/schedule exist; broaden coverage.</t>
        </is>
      </c>
    </row>
    <row r="56" ht="32.1" customFormat="1" customHeight="1" s="8">
      <c r="A56" s="13" t="n">
        <v>55</v>
      </c>
      <c r="B56" s="6" t="inlineStr">
        <is>
          <t>Logic Extraction</t>
        </is>
      </c>
      <c r="C56" s="14" t="inlineStr">
        <is>
          <t>Extract project-context gating into reusable guards</t>
        </is>
      </c>
      <c r="D56" s="6" t="inlineStr">
        <is>
          <t>Engineering</t>
        </is>
      </c>
      <c r="E56" s="16" t="inlineStr">
        <is>
          <t>High</t>
        </is>
      </c>
      <c r="F56" s="13" t="inlineStr">
        <is>
          <t>Done</t>
        </is>
      </c>
      <c r="G56" s="13" t="inlineStr">
        <is>
          <t>Week 3</t>
        </is>
      </c>
      <c r="H56" s="18" t="n">
        <v>46282</v>
      </c>
      <c r="I56" s="18" t="n">
        <v>46282</v>
      </c>
      <c r="J56" s="7" t="inlineStr">
        <is>
          <t>Completed 2026-07-24. assertProjectId shared via useAppSecurity.ts + standardMutation (PR #119/#120).</t>
        </is>
      </c>
    </row>
    <row r="57" ht="32.1" customFormat="1" customHeight="1" s="8">
      <c r="A57" s="13" t="n">
        <v>56</v>
      </c>
      <c r="B57" s="6" t="inlineStr">
        <is>
          <t>Logic Extraction</t>
        </is>
      </c>
      <c r="C57" s="14" t="inlineStr">
        <is>
          <t>Extract repeated badge/status formatting logic</t>
        </is>
      </c>
      <c r="D57" s="6" t="inlineStr">
        <is>
          <t>Engineering</t>
        </is>
      </c>
      <c r="E57" s="17" t="inlineStr">
        <is>
          <t>Medium</t>
        </is>
      </c>
      <c r="F57" s="13" t="inlineStr">
        <is>
          <t>In Progress</t>
        </is>
      </c>
      <c r="G57" s="13" t="inlineStr">
        <is>
          <t>Week 4</t>
        </is>
      </c>
      <c r="H57" s="18" t="n">
        <v>46283</v>
      </c>
      <c r="I57" s="18" t="n">
        <v>46283</v>
      </c>
      <c r="J57" s="7" t="inlineStr">
        <is>
          <t>Status enums in domain libs; some duplicate pills remain.</t>
        </is>
      </c>
    </row>
    <row r="58" ht="32.1" customFormat="1" customHeight="1" s="8">
      <c r="A58" s="13" t="n">
        <v>57</v>
      </c>
      <c r="B58" s="6" t="inlineStr">
        <is>
          <t>Logic Extraction</t>
        </is>
      </c>
      <c r="C58" s="14" t="inlineStr">
        <is>
          <t>Reduce major pages to layout + composition</t>
        </is>
      </c>
      <c r="D58" s="6" t="inlineStr">
        <is>
          <t>Engineering</t>
        </is>
      </c>
      <c r="E58" s="16" t="inlineStr">
        <is>
          <t>High</t>
        </is>
      </c>
      <c r="F58" s="13" t="inlineStr">
        <is>
          <t>In Progress</t>
        </is>
      </c>
      <c r="G58" s="13" t="inlineStr">
        <is>
          <t>Week 4</t>
        </is>
      </c>
      <c r="H58" s="18" t="n">
        <v>46284</v>
      </c>
      <c r="I58" s="18" t="n">
        <v>46284</v>
      </c>
      <c r="J58" s="7" t="inlineStr">
        <is>
          <t>Control-center composition pattern widely used; major pages still thinning.</t>
        </is>
      </c>
    </row>
    <row r="59" ht="32.1" customFormat="1" customHeight="1" s="8">
      <c r="A59" s="13" t="n">
        <v>58</v>
      </c>
      <c r="B59" s="6" t="inlineStr">
        <is>
          <t>Security &amp; Config</t>
        </is>
      </c>
      <c r="C59" s="14" t="inlineStr">
        <is>
          <t>Review src/api/base44Client.js</t>
        </is>
      </c>
      <c r="D59" s="6" t="inlineStr">
        <is>
          <t>Engineering</t>
        </is>
      </c>
      <c r="E59" s="15" t="inlineStr">
        <is>
          <t>Critical</t>
        </is>
      </c>
      <c r="F59" s="13" t="inlineStr">
        <is>
          <t>Done</t>
        </is>
      </c>
      <c r="G59" s="13" t="inlineStr">
        <is>
          <t>Week 2</t>
        </is>
      </c>
      <c r="H59" s="18" t="n">
        <v>46285</v>
      </c>
      <c r="I59" s="18" t="n">
        <v>46285</v>
      </c>
      <c r="J59" s="7" t="inlineStr">
        <is>
          <t>Completed 2026-07-24. base44Client gone; AuthCallbackError deleted; leftovers are comments/docs only.</t>
        </is>
      </c>
    </row>
    <row r="60" ht="32.1" customFormat="1" customHeight="1" s="8">
      <c r="A60" s="13" t="n">
        <v>59</v>
      </c>
      <c r="B60" s="6" t="inlineStr">
        <is>
          <t>Security &amp; Config</t>
        </is>
      </c>
      <c r="C60" s="14" t="inlineStr">
        <is>
          <t>Review src/lib/app-params.js</t>
        </is>
      </c>
      <c r="D60" s="6" t="inlineStr">
        <is>
          <t>Engineering</t>
        </is>
      </c>
      <c r="E60" s="15" t="inlineStr">
        <is>
          <t>Critical</t>
        </is>
      </c>
      <c r="F60" s="13" t="inlineStr">
        <is>
          <t>Done</t>
        </is>
      </c>
      <c r="G60" s="13" t="inlineStr">
        <is>
          <t>Week 2</t>
        </is>
      </c>
      <c r="H60" s="18" t="n">
        <v>46286</v>
      </c>
      <c r="I60" s="18" t="n">
        <v>46286</v>
      </c>
      <c r="J60" s="7" t="inlineStr">
        <is>
          <t>Completed 2026-07-24. app-params.js deleted; validated env.ts is source of truth.</t>
        </is>
      </c>
    </row>
    <row r="61" ht="32.1" customFormat="1" customHeight="1" s="8">
      <c r="A61" s="13" t="n">
        <v>60</v>
      </c>
      <c r="B61" s="6" t="inlineStr">
        <is>
          <t>Security &amp; Config</t>
        </is>
      </c>
      <c r="C61" s="14" t="inlineStr">
        <is>
          <t>Eliminate unsafe token sourcing from URL where possible</t>
        </is>
      </c>
      <c r="D61" s="6" t="inlineStr">
        <is>
          <t>Engineering</t>
        </is>
      </c>
      <c r="E61" s="15" t="inlineStr">
        <is>
          <t>Critical</t>
        </is>
      </c>
      <c r="F61" s="13" t="inlineStr">
        <is>
          <t>Done</t>
        </is>
      </c>
      <c r="G61" s="13" t="inlineStr">
        <is>
          <t>Week 2</t>
        </is>
      </c>
      <c r="H61" s="18" t="n">
        <v>46287</v>
      </c>
      <c r="I61" s="18" t="n">
        <v>46287</v>
      </c>
      <c r="J61" s="7" t="inlineStr">
        <is>
          <t>Completed earlier. No manual URL token parsers; supabase detectSessionInUrl.</t>
        </is>
      </c>
    </row>
    <row r="62" ht="32.1" customFormat="1" customHeight="1" s="8">
      <c r="A62" s="13" t="n">
        <v>61</v>
      </c>
      <c r="B62" s="6" t="inlineStr">
        <is>
          <t>Security &amp; Config</t>
        </is>
      </c>
      <c r="C62" s="14" t="inlineStr">
        <is>
          <t>Reduce reliance on localStorage for sensitive auth flows</t>
        </is>
      </c>
      <c r="D62" s="6" t="inlineStr">
        <is>
          <t>Engineering</t>
        </is>
      </c>
      <c r="E62" s="16" t="inlineStr">
        <is>
          <t>High</t>
        </is>
      </c>
      <c r="F62" s="13" t="inlineStr">
        <is>
          <t>Done</t>
        </is>
      </c>
      <c r="G62" s="13" t="inlineStr">
        <is>
          <t>Week 3</t>
        </is>
      </c>
      <c r="H62" s="18" t="n">
        <v>46288</v>
      </c>
      <c r="I62" s="18" t="n">
        <v>46288</v>
      </c>
      <c r="J62" s="7" t="inlineStr">
        <is>
          <t>Completed 2026-07-24. Removed localStorage identity auth fallbacks (useAppSecurity, SystemTab, SecureDeleteDialog).</t>
        </is>
      </c>
    </row>
    <row r="63" ht="32.1" customFormat="1" customHeight="1" s="8">
      <c r="A63" s="13" t="n">
        <v>62</v>
      </c>
      <c r="B63" s="6" t="inlineStr">
        <is>
          <t>Security &amp; Config</t>
        </is>
      </c>
      <c r="C63" s="14" t="inlineStr">
        <is>
          <t>Replace loose requiresAuth: false patterns where inappropriate</t>
        </is>
      </c>
      <c r="D63" s="6" t="inlineStr">
        <is>
          <t>Engineering</t>
        </is>
      </c>
      <c r="E63" s="15" t="inlineStr">
        <is>
          <t>Critical</t>
        </is>
      </c>
      <c r="F63" s="13" t="inlineStr">
        <is>
          <t>Done</t>
        </is>
      </c>
      <c r="G63" s="13" t="inlineStr">
        <is>
          <t>Week 2</t>
        </is>
      </c>
      <c r="H63" s="18" t="n">
        <v>46289</v>
      </c>
      <c r="I63" s="18" t="n">
        <v>46289</v>
      </c>
      <c r="J63" s="7" t="inlineStr">
        <is>
          <t>Completed earlier. No requiresAuth: false patterns found.</t>
        </is>
      </c>
    </row>
    <row r="64" ht="32.1" customFormat="1" customHeight="1" s="8">
      <c r="A64" s="13" t="n">
        <v>63</v>
      </c>
      <c r="B64" s="6" t="inlineStr">
        <is>
          <t>Security &amp; Config</t>
        </is>
      </c>
      <c r="C64" s="14" t="inlineStr">
        <is>
          <t>Ensure business-critical paths require authenticated context</t>
        </is>
      </c>
      <c r="D64" s="6" t="inlineStr">
        <is>
          <t>Engineering</t>
        </is>
      </c>
      <c r="E64" s="15" t="inlineStr">
        <is>
          <t>Critical</t>
        </is>
      </c>
      <c r="F64" s="13" t="inlineStr">
        <is>
          <t>Done</t>
        </is>
      </c>
      <c r="G64" s="13" t="inlineStr">
        <is>
          <t>Week 2</t>
        </is>
      </c>
      <c r="H64" s="18" t="n">
        <v>46290</v>
      </c>
      <c r="I64" s="18" t="n">
        <v>46290</v>
      </c>
      <c r="J64" s="7" t="inlineStr">
        <is>
          <t>Completed earlier. AuthenticatedApp gates app; PUBLIC_PAGES explicit.</t>
        </is>
      </c>
    </row>
    <row r="65" ht="32.1" customFormat="1" customHeight="1" s="8">
      <c r="A65" s="13" t="n">
        <v>64</v>
      </c>
      <c r="B65" s="6" t="inlineStr">
        <is>
          <t>Security &amp; Config</t>
        </is>
      </c>
      <c r="C65" s="14" t="inlineStr">
        <is>
          <t>Verify project-level access boundaries are enforced</t>
        </is>
      </c>
      <c r="D65" s="6" t="inlineStr">
        <is>
          <t>Engineering / QA</t>
        </is>
      </c>
      <c r="E65" s="15" t="inlineStr">
        <is>
          <t>Critical</t>
        </is>
      </c>
      <c r="F65" s="13" t="inlineStr">
        <is>
          <t>Done</t>
        </is>
      </c>
      <c r="G65" s="13" t="inlineStr">
        <is>
          <t>Week 3</t>
        </is>
      </c>
      <c r="H65" s="18" t="n">
        <v>46291</v>
      </c>
      <c r="I65" s="18" t="n">
        <v>46291</v>
      </c>
      <c r="J65" s="7" t="inlineStr">
        <is>
          <t>Completed 2026-07-25. RLS + PROJECT_SCOPED_TABLES + withProjectId write shaping on critical creates. Org model still TECH_DEBT but project boundary enforced.</t>
        </is>
      </c>
    </row>
    <row r="66" ht="45" customFormat="1" customHeight="1" s="8">
      <c r="A66" s="13" t="n">
        <v>65</v>
      </c>
      <c r="B66" s="6" t="inlineStr">
        <is>
          <t>Security &amp; Config</t>
        </is>
      </c>
      <c r="C66" s="14" t="inlineStr">
        <is>
          <t>Document approved auth/config pattern</t>
        </is>
      </c>
      <c r="D66" s="6" t="inlineStr">
        <is>
          <t>Engineering Lead</t>
        </is>
      </c>
      <c r="E66" s="17" t="inlineStr">
        <is>
          <t>Medium</t>
        </is>
      </c>
      <c r="F66" s="13" t="inlineStr">
        <is>
          <t>Done</t>
        </is>
      </c>
      <c r="G66" s="13" t="inlineStr">
        <is>
          <t>Week 3</t>
        </is>
      </c>
      <c r="H66" s="18" t="n">
        <v>46292</v>
      </c>
      <c r="I66" s="18" t="n">
        <v>46292</v>
      </c>
      <c r="J66" s="7" t="inlineStr">
        <is>
          <t>Completed 7/21/2026. Approved authentication, staging, project visibility, storage, and recovery patterns are documented in repository runbooks.</t>
        </is>
      </c>
    </row>
    <row r="67" ht="32.1" customFormat="1" customHeight="1" s="8">
      <c r="A67" s="13" t="n">
        <v>66</v>
      </c>
      <c r="B67" s="6" t="inlineStr">
        <is>
          <t>Backend Hardening</t>
        </is>
      </c>
      <c r="C67" s="14" t="inlineStr">
        <is>
          <t>Review backend functions for auth consistency</t>
        </is>
      </c>
      <c r="D67" s="6" t="inlineStr">
        <is>
          <t>Engineering</t>
        </is>
      </c>
      <c r="E67" s="15" t="inlineStr">
        <is>
          <t>Critical</t>
        </is>
      </c>
      <c r="F67" s="13" t="inlineStr">
        <is>
          <t>Done</t>
        </is>
      </c>
      <c r="G67" s="13" t="inlineStr">
        <is>
          <t>Week 3</t>
        </is>
      </c>
      <c r="H67" s="18" t="n">
        <v>46293</v>
      </c>
      <c r="I67" s="18" t="n">
        <v>46293</v>
      </c>
      <c r="J67" s="7" t="inlineStr">
        <is>
          <t>Completed earlier. stripe/email/llm JWT gates on edge functions.</t>
        </is>
      </c>
    </row>
    <row r="68" ht="32.1" customFormat="1" customHeight="1" s="8">
      <c r="A68" s="13" t="n">
        <v>67</v>
      </c>
      <c r="B68" s="6" t="inlineStr">
        <is>
          <t>Backend Hardening</t>
        </is>
      </c>
      <c r="C68" s="14" t="inlineStr">
        <is>
          <t>Review unsafe service-role usage</t>
        </is>
      </c>
      <c r="D68" s="6" t="inlineStr">
        <is>
          <t>Engineering</t>
        </is>
      </c>
      <c r="E68" s="15" t="inlineStr">
        <is>
          <t>Critical</t>
        </is>
      </c>
      <c r="F68" s="13" t="inlineStr">
        <is>
          <t>Done</t>
        </is>
      </c>
      <c r="G68" s="13" t="inlineStr">
        <is>
          <t>Week 3</t>
        </is>
      </c>
      <c r="H68" s="18" t="n">
        <v>46294</v>
      </c>
      <c r="I68" s="18" t="n">
        <v>46294</v>
      </c>
      <c r="J68" s="7" t="inlineStr">
        <is>
          <t>Completed earlier. service_role server-only in edge functions.</t>
        </is>
      </c>
    </row>
    <row r="69" ht="32.1" customFormat="1" customHeight="1" s="8">
      <c r="A69" s="13" t="n">
        <v>68</v>
      </c>
      <c r="B69" s="6" t="inlineStr">
        <is>
          <t>Backend Hardening</t>
        </is>
      </c>
      <c r="C69" s="14" t="inlineStr">
        <is>
          <t>Confirm project-level checks for sensitive operations</t>
        </is>
      </c>
      <c r="D69" s="6" t="inlineStr">
        <is>
          <t>Engineering</t>
        </is>
      </c>
      <c r="E69" s="15" t="inlineStr">
        <is>
          <t>Critical</t>
        </is>
      </c>
      <c r="F69" s="13" t="inlineStr">
        <is>
          <t>Done</t>
        </is>
      </c>
      <c r="G69" s="13" t="inlineStr">
        <is>
          <t>Week 3</t>
        </is>
      </c>
      <c r="H69" s="18" t="n">
        <v>46295</v>
      </c>
      <c r="I69" s="18" t="n">
        <v>46295</v>
      </c>
      <c r="J69" s="7" t="inlineStr">
        <is>
          <t>Completed 2026-07-25. Project checks on sensitive creates via withProjectId (forces active project_id). Continues with universal mutation adoption (ID 50).</t>
        </is>
      </c>
    </row>
    <row r="70" ht="32.1" customFormat="1" customHeight="1" s="8">
      <c r="A70" s="13" t="n">
        <v>69</v>
      </c>
      <c r="B70" s="6" t="inlineStr">
        <is>
          <t>Backend Hardening</t>
        </is>
      </c>
      <c r="C70" s="14" t="inlineStr">
        <is>
          <t>Validate webhook signature checks where applicable</t>
        </is>
      </c>
      <c r="D70" s="6" t="inlineStr">
        <is>
          <t>Engineering</t>
        </is>
      </c>
      <c r="E70" s="16" t="inlineStr">
        <is>
          <t>High</t>
        </is>
      </c>
      <c r="F70" s="13" t="inlineStr">
        <is>
          <t>Done</t>
        </is>
      </c>
      <c r="G70" s="13" t="inlineStr">
        <is>
          <t>Week 4</t>
        </is>
      </c>
      <c r="H70" s="18" t="n">
        <v>46296</v>
      </c>
      <c r="I70" s="18" t="n">
        <v>46296</v>
      </c>
      <c r="J70" s="7" t="inlineStr">
        <is>
          <t>Completed earlier. Stripe webhook signature + idempotency.</t>
        </is>
      </c>
    </row>
    <row r="71" ht="32.1" customFormat="1" customHeight="1" s="8">
      <c r="A71" s="13" t="n">
        <v>70</v>
      </c>
      <c r="B71" s="6" t="inlineStr">
        <is>
          <t>Backend Hardening</t>
        </is>
      </c>
      <c r="C71" s="14" t="inlineStr">
        <is>
          <t>Confirm environment variable names and usage are correct</t>
        </is>
      </c>
      <c r="D71" s="6" t="inlineStr">
        <is>
          <t>Engineering</t>
        </is>
      </c>
      <c r="E71" s="16" t="inlineStr">
        <is>
          <t>High</t>
        </is>
      </c>
      <c r="F71" s="13" t="inlineStr">
        <is>
          <t>Done</t>
        </is>
      </c>
      <c r="G71" s="13" t="inlineStr">
        <is>
          <t>Week 3</t>
        </is>
      </c>
      <c r="H71" s="18" t="n">
        <v>46297</v>
      </c>
      <c r="I71" s="18" t="n">
        <v>46297</v>
      </c>
      <c r="J71" s="7" t="inlineStr">
        <is>
          <t>Completed 2026-07-25. Env names validated via src/lib/env.ts + .env.example. Staging Vercel mis-set (if still present) is an ops fix, not a code naming issue.</t>
        </is>
      </c>
    </row>
    <row r="72" ht="32.1" customFormat="1" customHeight="1" s="8">
      <c r="A72" s="13" t="n">
        <v>71</v>
      </c>
      <c r="B72" s="6" t="inlineStr">
        <is>
          <t>UX Trust</t>
        </is>
      </c>
      <c r="C72" s="14" t="inlineStr">
        <is>
          <t>Find all 'coming soon' or placeholder operational screens</t>
        </is>
      </c>
      <c r="D72" s="6" t="inlineStr">
        <is>
          <t>PM / QA</t>
        </is>
      </c>
      <c r="E72" s="16" t="inlineStr">
        <is>
          <t>High</t>
        </is>
      </c>
      <c r="F72" s="13" t="inlineStr">
        <is>
          <t>Done</t>
        </is>
      </c>
      <c r="G72" s="13" t="inlineStr">
        <is>
          <t>Week 2</t>
        </is>
      </c>
      <c r="H72" s="18" t="n">
        <v>46298</v>
      </c>
      <c r="I72" s="18" t="n">
        <v>46298</v>
      </c>
      <c r="J72" s="7" t="inlineStr">
        <is>
          <t>Completed 2026-07-24. Coming-soon inventory documented (COMING_SOON_INVENTORY.md + integrationCatalog).</t>
        </is>
      </c>
    </row>
    <row r="73" ht="32.1" customFormat="1" customHeight="1" s="8">
      <c r="A73" s="13" t="n">
        <v>72</v>
      </c>
      <c r="B73" s="6" t="inlineStr">
        <is>
          <t>UX Trust</t>
        </is>
      </c>
      <c r="C73" s="14" t="inlineStr">
        <is>
          <t>Hide incomplete features from production users</t>
        </is>
      </c>
      <c r="D73" s="6" t="inlineStr">
        <is>
          <t>Engineering</t>
        </is>
      </c>
      <c r="E73" s="16" t="inlineStr">
        <is>
          <t>High</t>
        </is>
      </c>
      <c r="F73" s="13" t="inlineStr">
        <is>
          <t>Done</t>
        </is>
      </c>
      <c r="G73" s="13" t="inlineStr">
        <is>
          <t>Week 2</t>
        </is>
      </c>
      <c r="H73" s="18" t="n">
        <v>46299</v>
      </c>
      <c r="I73" s="18" t="n">
        <v>46299</v>
      </c>
      <c r="J73" s="7" t="inlineStr">
        <is>
          <t>Completed earlier. Coming-soon gated in Integrations UI.</t>
        </is>
      </c>
    </row>
    <row r="74" ht="32.1" customFormat="1" customHeight="1" s="8">
      <c r="A74" s="13" t="n">
        <v>73</v>
      </c>
      <c r="B74" s="6" t="inlineStr">
        <is>
          <t>UX Trust</t>
        </is>
      </c>
      <c r="C74" s="14" t="inlineStr">
        <is>
          <t>Replace placeholders with clear 'not enabled' messaging</t>
        </is>
      </c>
      <c r="D74" s="6" t="inlineStr">
        <is>
          <t>Engineering</t>
        </is>
      </c>
      <c r="E74" s="17" t="inlineStr">
        <is>
          <t>Medium</t>
        </is>
      </c>
      <c r="F74" s="13" t="inlineStr">
        <is>
          <t>Done</t>
        </is>
      </c>
      <c r="G74" s="13" t="inlineStr">
        <is>
          <t>Week 2</t>
        </is>
      </c>
      <c r="H74" s="18" t="n">
        <v>46300</v>
      </c>
      <c r="I74" s="18" t="n">
        <v>46300</v>
      </c>
      <c r="J74" s="7" t="inlineStr">
        <is>
          <t>Completed earlier. Honest messaging for incomplete connectors.</t>
        </is>
      </c>
    </row>
    <row r="75" ht="32.1" customFormat="1" customHeight="1" s="8">
      <c r="A75" s="13" t="n">
        <v>74</v>
      </c>
      <c r="B75" s="6" t="inlineStr">
        <is>
          <t>UX Trust</t>
        </is>
      </c>
      <c r="C75" s="14" t="inlineStr">
        <is>
          <t>Remove fake buttons or dead controls</t>
        </is>
      </c>
      <c r="D75" s="6" t="inlineStr">
        <is>
          <t>Engineering</t>
        </is>
      </c>
      <c r="E75" s="16" t="inlineStr">
        <is>
          <t>High</t>
        </is>
      </c>
      <c r="F75" s="13" t="inlineStr">
        <is>
          <t>Done</t>
        </is>
      </c>
      <c r="G75" s="13" t="inlineStr">
        <is>
          <t>Week 2</t>
        </is>
      </c>
      <c r="H75" s="18" t="n">
        <v>46301</v>
      </c>
      <c r="I75" s="18" t="n">
        <v>46301</v>
      </c>
      <c r="J75" s="7" t="inlineStr">
        <is>
          <t>Completed 2026-07-24. SharePoint Sync Now labeled unavailable (muted) in DocumentStorageSettings.</t>
        </is>
      </c>
    </row>
    <row r="76" ht="32.1" customFormat="1" customHeight="1" s="8">
      <c r="A76" s="13" t="n">
        <v>75</v>
      </c>
      <c r="B76" s="6" t="inlineStr">
        <is>
          <t>UX Trust</t>
        </is>
      </c>
      <c r="C76" s="14" t="inlineStr">
        <is>
          <t>Ensure every visible feature does something trustworthy</t>
        </is>
      </c>
      <c r="D76" s="6" t="inlineStr">
        <is>
          <t>QA</t>
        </is>
      </c>
      <c r="E76" s="15" t="inlineStr">
        <is>
          <t>Critical</t>
        </is>
      </c>
      <c r="F76" s="13" t="inlineStr">
        <is>
          <t>In Progress</t>
        </is>
      </c>
      <c r="G76" s="13" t="inlineStr">
        <is>
          <t>Week 3</t>
        </is>
      </c>
      <c r="H76" s="18" t="n">
        <v>46302</v>
      </c>
      <c r="I76" s="18" t="n">
        <v>46302</v>
      </c>
      <c r="J76" s="7" t="inlineStr">
        <is>
          <t>Flagship paths honest; catalog still lists future items intentionally.</t>
        </is>
      </c>
    </row>
    <row r="77" ht="32.1" customFormat="1" customHeight="1" s="8">
      <c r="A77" s="13" t="n">
        <v>76</v>
      </c>
      <c r="B77" s="6" t="inlineStr">
        <is>
          <t>Workflow Continuity</t>
        </is>
      </c>
      <c r="C77" s="14" t="inlineStr">
        <is>
          <t>Audit drawings workflow end to end</t>
        </is>
      </c>
      <c r="D77" s="6" t="inlineStr">
        <is>
          <t>PM / QA / Engineering</t>
        </is>
      </c>
      <c r="E77" s="15" t="inlineStr">
        <is>
          <t>Critical</t>
        </is>
      </c>
      <c r="F77" s="13" t="inlineStr">
        <is>
          <t>Done</t>
        </is>
      </c>
      <c r="G77" s="13" t="inlineStr">
        <is>
          <t>Week 2</t>
        </is>
      </c>
      <c r="H77" s="18" t="n">
        <v>46303</v>
      </c>
      <c r="I77" s="18" t="n">
        <v>46303</v>
      </c>
      <c r="J77" s="7" t="inlineStr">
        <is>
          <t>Completed earlier (PR #115). Drawing/submittal/fab controls hardened + tests + migrations; on prod.</t>
        </is>
      </c>
    </row>
    <row r="78" ht="32.1" customFormat="1" customHeight="1" s="8">
      <c r="A78" s="13" t="n">
        <v>77</v>
      </c>
      <c r="B78" s="6" t="inlineStr">
        <is>
          <t>Workflow Continuity</t>
        </is>
      </c>
      <c r="C78" s="14" t="inlineStr">
        <is>
          <t>Audit RFI workflow end to end</t>
        </is>
      </c>
      <c r="D78" s="6" t="inlineStr">
        <is>
          <t>PM / QA / Engineering</t>
        </is>
      </c>
      <c r="E78" s="15" t="inlineStr">
        <is>
          <t>Critical</t>
        </is>
      </c>
      <c r="F78" s="13" t="inlineStr">
        <is>
          <t>In Progress</t>
        </is>
      </c>
      <c r="G78" s="13" t="inlineStr">
        <is>
          <t>Week 2</t>
        </is>
      </c>
      <c r="H78" s="18" t="n">
        <v>46304</v>
      </c>
      <c r="I78" s="18" t="n">
        <v>46304</v>
      </c>
      <c r="J78" s="7" t="inlineStr">
        <is>
          <t>RFI path hardened; full field UAT still open.</t>
        </is>
      </c>
    </row>
    <row r="79" ht="32.1" customFormat="1" customHeight="1" s="8">
      <c r="A79" s="13" t="n">
        <v>78</v>
      </c>
      <c r="B79" s="6" t="inlineStr">
        <is>
          <t>Workflow Continuity</t>
        </is>
      </c>
      <c r="C79" s="14" t="inlineStr">
        <is>
          <t>Audit work package workflow end to end</t>
        </is>
      </c>
      <c r="D79" s="6" t="inlineStr">
        <is>
          <t>PM / QA / Engineering</t>
        </is>
      </c>
      <c r="E79" s="16" t="inlineStr">
        <is>
          <t>High</t>
        </is>
      </c>
      <c r="F79" s="13" t="inlineStr">
        <is>
          <t>Done</t>
        </is>
      </c>
      <c r="G79" s="13" t="inlineStr">
        <is>
          <t>Week 3</t>
        </is>
      </c>
      <c r="H79" s="18" t="n">
        <v>46305</v>
      </c>
      <c r="I79" s="18" t="n">
        <v>46305</v>
      </c>
      <c r="J79" s="7" t="inlineStr">
        <is>
          <t>Completed earlier (PR #116). Piece/production hardening on prod.</t>
        </is>
      </c>
    </row>
    <row r="80" ht="32.1" customFormat="1" customHeight="1" s="8">
      <c r="A80" s="13" t="n">
        <v>79</v>
      </c>
      <c r="B80" s="6" t="inlineStr">
        <is>
          <t>Workflow Continuity</t>
        </is>
      </c>
      <c r="C80" s="14" t="inlineStr">
        <is>
          <t>Audit deliveries workflow end to end</t>
        </is>
      </c>
      <c r="D80" s="6" t="inlineStr">
        <is>
          <t>PM / QA / Engineering</t>
        </is>
      </c>
      <c r="E80" s="16" t="inlineStr">
        <is>
          <t>High</t>
        </is>
      </c>
      <c r="F80" s="13" t="inlineStr">
        <is>
          <t>Done</t>
        </is>
      </c>
      <c r="G80" s="13" t="inlineStr">
        <is>
          <t>Week 3</t>
        </is>
      </c>
      <c r="H80" s="18" t="n">
        <v>46306</v>
      </c>
      <c r="I80" s="18" t="n">
        <v>46306</v>
      </c>
      <c r="J80" s="7" t="inlineStr">
        <is>
          <t>Completed earlier (PR #116). Shipping bridge + quantity rules on prod.</t>
        </is>
      </c>
    </row>
    <row r="81" ht="32.1" customFormat="1" customHeight="1" s="8">
      <c r="A81" s="13" t="n">
        <v>80</v>
      </c>
      <c r="B81" s="6" t="inlineStr">
        <is>
          <t>Workflow Continuity</t>
        </is>
      </c>
      <c r="C81" s="14" t="inlineStr">
        <is>
          <t>Audit schedule workflow and look-ahead planning</t>
        </is>
      </c>
      <c r="D81" s="6" t="inlineStr">
        <is>
          <t>PM / QA / Engineering</t>
        </is>
      </c>
      <c r="E81" s="16" t="inlineStr">
        <is>
          <t>High</t>
        </is>
      </c>
      <c r="F81" s="13" t="inlineStr">
        <is>
          <t>In Progress</t>
        </is>
      </c>
      <c r="G81" s="13" t="inlineStr">
        <is>
          <t>Week 3</t>
        </is>
      </c>
      <c r="H81" s="18" t="n">
        <v>46307</v>
      </c>
      <c r="I81" s="18" t="n">
        <v>46307</v>
      </c>
      <c r="J81" s="7" t="inlineStr">
        <is>
          <t>Schedule/look-ahead present; field-verify UAT open.</t>
        </is>
      </c>
    </row>
    <row r="82" ht="32.1" customFormat="1" customHeight="1" s="8">
      <c r="A82" s="13" t="n">
        <v>81</v>
      </c>
      <c r="B82" s="6" t="inlineStr">
        <is>
          <t>Workflow Continuity</t>
        </is>
      </c>
      <c r="C82" s="14" t="inlineStr">
        <is>
          <t>Audit cost / SOV / budget control workflow</t>
        </is>
      </c>
      <c r="D82" s="6" t="inlineStr">
        <is>
          <t>PM / QA / Engineering</t>
        </is>
      </c>
      <c r="E82" s="15" t="inlineStr">
        <is>
          <t>Critical</t>
        </is>
      </c>
      <c r="F82" s="13" t="inlineStr">
        <is>
          <t>In Progress</t>
        </is>
      </c>
      <c r="G82" s="13" t="inlineStr">
        <is>
          <t>Week 3</t>
        </is>
      </c>
      <c r="H82" s="18" t="n">
        <v>46308</v>
      </c>
      <c r="I82" s="18" t="n">
        <v>46308</v>
      </c>
      <c r="J82" s="7" t="inlineStr">
        <is>
          <t>Cost/SOV/budget paths exist; KPI reconciliation tests partial.</t>
        </is>
      </c>
    </row>
    <row r="83" ht="32.1" customFormat="1" customHeight="1" s="8">
      <c r="A83" s="13" t="n">
        <v>82</v>
      </c>
      <c r="B83" s="6" t="inlineStr">
        <is>
          <t>Workflow Continuity</t>
        </is>
      </c>
      <c r="C83" s="14" t="inlineStr">
        <is>
          <t>Audit PMA usefulness inside real PM workflow</t>
        </is>
      </c>
      <c r="D83" s="6" t="inlineStr">
        <is>
          <t>PM / QA / Engineering</t>
        </is>
      </c>
      <c r="E83" s="15" t="inlineStr">
        <is>
          <t>Critical</t>
        </is>
      </c>
      <c r="F83" s="13" t="inlineStr">
        <is>
          <t>Done</t>
        </is>
      </c>
      <c r="G83" s="13" t="inlineStr">
        <is>
          <t>Week 3</t>
        </is>
      </c>
      <c r="H83" s="18" t="n">
        <v>46309</v>
      </c>
      <c r="I83" s="18" t="n">
        <v>46309</v>
      </c>
      <c r="J83" s="7" t="inlineStr">
        <is>
          <t>Completed 2026-07-24. PMA removal complete at runtime; audit usefulness = N/A (feature retired).</t>
        </is>
      </c>
    </row>
    <row r="84" ht="32.1" customFormat="1" customHeight="1" s="8">
      <c r="A84" s="13" t="n">
        <v>83</v>
      </c>
      <c r="B84" s="6" t="inlineStr">
        <is>
          <t>Workflow Continuity</t>
        </is>
      </c>
      <c r="C84" s="14" t="inlineStr">
        <is>
          <t>Fix handoff gaps between office, shop, and field surfaces</t>
        </is>
      </c>
      <c r="D84" s="6" t="inlineStr">
        <is>
          <t>Engineering</t>
        </is>
      </c>
      <c r="E84" s="16" t="inlineStr">
        <is>
          <t>High</t>
        </is>
      </c>
      <c r="F84" s="13" t="inlineStr">
        <is>
          <t>In Progress</t>
        </is>
      </c>
      <c r="G84" s="13" t="inlineStr">
        <is>
          <t>Week 4</t>
        </is>
      </c>
      <c r="H84" s="18" t="n">
        <v>46310</v>
      </c>
      <c r="I84" s="18" t="n">
        <v>46310</v>
      </c>
      <c r="J84" s="7" t="inlineStr">
        <is>
          <t>Nav dead-ends fixed in #117; more office/shop/field handoffs remain.</t>
        </is>
      </c>
    </row>
    <row r="85" ht="32.1" customFormat="1" customHeight="1" s="8">
      <c r="A85" s="13" t="n">
        <v>84</v>
      </c>
      <c r="B85" s="6" t="inlineStr">
        <is>
          <t>Project Boundaries</t>
        </is>
      </c>
      <c r="C85" s="14" t="inlineStr">
        <is>
          <t>Verify every operational module respects project context</t>
        </is>
      </c>
      <c r="D85" s="6" t="inlineStr">
        <is>
          <t>Engineering / QA</t>
        </is>
      </c>
      <c r="E85" s="15" t="inlineStr">
        <is>
          <t>Critical</t>
        </is>
      </c>
      <c r="F85" s="13" t="inlineStr">
        <is>
          <t>Done</t>
        </is>
      </c>
      <c r="G85" s="13" t="inlineStr">
        <is>
          <t>Week 3</t>
        </is>
      </c>
      <c r="H85" s="18" t="n">
        <v>46311</v>
      </c>
      <c r="I85" s="18" t="n">
        <v>46311</v>
      </c>
      <c r="J85" s="7" t="inlineStr">
        <is>
          <t>Completed 2026-07-25. PROJECT_SCOPED_PAGES + RLS + withProjectId on operational creates (schedule/drawings/field/cost/resources/transmittals). Interactive project-switch UAT remains ID 88/102.</t>
        </is>
      </c>
    </row>
    <row r="86" ht="32.1" customFormat="1" customHeight="1" s="8">
      <c r="A86" s="13" t="n">
        <v>85</v>
      </c>
      <c r="B86" s="6" t="inlineStr">
        <is>
          <t>Project Boundaries</t>
        </is>
      </c>
      <c r="C86" s="14" t="inlineStr">
        <is>
          <t>Remove silent cross-project blending in working modules</t>
        </is>
      </c>
      <c r="D86" s="6" t="inlineStr">
        <is>
          <t>Engineering</t>
        </is>
      </c>
      <c r="E86" s="16" t="inlineStr">
        <is>
          <t>High</t>
        </is>
      </c>
      <c r="F86" s="13" t="inlineStr">
        <is>
          <t>Done</t>
        </is>
      </c>
      <c r="G86" s="13" t="inlineStr">
        <is>
          <t>Week 3</t>
        </is>
      </c>
      <c r="H86" s="18" t="n">
        <v>46312</v>
      </c>
      <c r="I86" s="18" t="n">
        <v>46312</v>
      </c>
      <c r="J86" s="7" t="inlineStr">
        <is>
          <t>Completed 2026-07-24. Explicit named FK project scope (contacts/projects Sentry fix) + softDelete scoping.</t>
        </is>
      </c>
    </row>
    <row r="87" ht="32.1" customFormat="1" customHeight="1" s="8">
      <c r="A87" s="13" t="n">
        <v>86</v>
      </c>
      <c r="B87" s="6" t="inlineStr">
        <is>
          <t>Project Boundaries</t>
        </is>
      </c>
      <c r="C87" s="14" t="inlineStr">
        <is>
          <t>Separate executive roll-up views from project execution views</t>
        </is>
      </c>
      <c r="D87" s="6" t="inlineStr">
        <is>
          <t>Engineering</t>
        </is>
      </c>
      <c r="E87" s="16" t="inlineStr">
        <is>
          <t>High</t>
        </is>
      </c>
      <c r="F87" s="13" t="inlineStr">
        <is>
          <t>Done</t>
        </is>
      </c>
      <c r="G87" s="13" t="inlineStr">
        <is>
          <t>Week 4</t>
        </is>
      </c>
      <c r="H87" s="18" t="n">
        <v>46313</v>
      </c>
      <c r="I87" s="18" t="n">
        <v>46313</v>
      </c>
      <c r="J87" s="7" t="inlineStr">
        <is>
          <t>Completed earlier. Portfolio vs project modes on Dashboard.</t>
        </is>
      </c>
    </row>
    <row r="88" ht="32.1" customFormat="1" customHeight="1" s="8">
      <c r="A88" s="13" t="n">
        <v>87</v>
      </c>
      <c r="B88" s="6" t="inlineStr">
        <is>
          <t>Project Boundaries</t>
        </is>
      </c>
      <c r="C88" s="14" t="inlineStr">
        <is>
          <t>Confirm filters, summaries, and KPIs are scoped correctly</t>
        </is>
      </c>
      <c r="D88" s="6" t="inlineStr">
        <is>
          <t>QA</t>
        </is>
      </c>
      <c r="E88" s="16" t="inlineStr">
        <is>
          <t>High</t>
        </is>
      </c>
      <c r="F88" s="13" t="inlineStr">
        <is>
          <t>In Progress</t>
        </is>
      </c>
      <c r="G88" s="13" t="inlineStr">
        <is>
          <t>Week 4</t>
        </is>
      </c>
      <c r="H88" s="18" t="n">
        <v>46314</v>
      </c>
      <c r="I88" s="18" t="n">
        <v>46314</v>
      </c>
      <c r="J88" s="7" t="inlineStr">
        <is>
          <t>ListTruncationNotice on some registers; confirm all KPIs scoped.</t>
        </is>
      </c>
    </row>
    <row r="89" ht="32.1" customFormat="1" customHeight="1" s="8">
      <c r="A89" s="13" t="n">
        <v>88</v>
      </c>
      <c r="B89" s="6" t="inlineStr">
        <is>
          <t>Project Boundaries</t>
        </is>
      </c>
      <c r="C89" s="14" t="inlineStr">
        <is>
          <t>Retest project switching across major pages</t>
        </is>
      </c>
      <c r="D89" s="6" t="inlineStr">
        <is>
          <t>QA</t>
        </is>
      </c>
      <c r="E89" s="15" t="inlineStr">
        <is>
          <t>Critical</t>
        </is>
      </c>
      <c r="F89" s="13" t="inlineStr">
        <is>
          <t>In Progress</t>
        </is>
      </c>
      <c r="G89" s="13" t="inlineStr">
        <is>
          <t>Week 4</t>
        </is>
      </c>
      <c r="H89" s="18" t="n">
        <v>46315</v>
      </c>
      <c r="I89" s="18" t="n">
        <v>46315</v>
      </c>
      <c r="J89" s="7" t="inlineStr">
        <is>
          <t>Needs interactive project-switch UAT across major pages.</t>
        </is>
      </c>
    </row>
    <row r="90" ht="32.1" customFormat="1" customHeight="1" s="8">
      <c r="A90" s="13" t="n">
        <v>89</v>
      </c>
      <c r="B90" s="6" t="inlineStr">
        <is>
          <t>Testing</t>
        </is>
      </c>
      <c r="C90" s="14" t="inlineStr">
        <is>
          <t>Create tests for create/edit/delete on core records</t>
        </is>
      </c>
      <c r="D90" s="6" t="inlineStr">
        <is>
          <t>QA / Engineering</t>
        </is>
      </c>
      <c r="E90" s="15" t="inlineStr">
        <is>
          <t>Critical</t>
        </is>
      </c>
      <c r="F90" s="13" t="inlineStr">
        <is>
          <t>Done</t>
        </is>
      </c>
      <c r="G90" s="13" t="inlineStr">
        <is>
          <t>Week 4</t>
        </is>
      </c>
      <c r="H90" s="18" t="n">
        <v>46316</v>
      </c>
      <c r="I90" s="18" t="n">
        <v>46316</v>
      </c>
      <c r="J90" s="7" t="inlineStr">
        <is>
          <t>Completed 2026-07-25. Core create/edit/delete tests exist for CO/cost/closeout/piece + mutation helpers; expand remaining forms under ID 50/97 as pages adopt standardMutation.</t>
        </is>
      </c>
    </row>
    <row r="91" ht="32.1" customFormat="1" customHeight="1" s="8">
      <c r="A91" s="13" t="n">
        <v>90</v>
      </c>
      <c r="B91" s="6" t="inlineStr">
        <is>
          <t>Testing</t>
        </is>
      </c>
      <c r="C91" s="14" t="inlineStr">
        <is>
          <t>Add tests for task persistence</t>
        </is>
      </c>
      <c r="D91" s="6" t="inlineStr">
        <is>
          <t>QA / Engineering</t>
        </is>
      </c>
      <c r="E91" s="15" t="inlineStr">
        <is>
          <t>Critical</t>
        </is>
      </c>
      <c r="F91" s="13" t="inlineStr">
        <is>
          <t>Done</t>
        </is>
      </c>
      <c r="G91" s="13" t="inlineStr">
        <is>
          <t>Week 4</t>
        </is>
      </c>
      <c r="H91" s="18" t="n">
        <v>46317</v>
      </c>
      <c r="I91" s="18" t="n">
        <v>46317</v>
      </c>
      <c r="J91" s="7" t="inlineStr">
        <is>
          <t>Completed 2026-07-24. taskPersistence.test.ts regression coverage.</t>
        </is>
      </c>
    </row>
    <row r="92" ht="45" customFormat="1" customHeight="1" s="8">
      <c r="A92" s="13" t="n">
        <v>91</v>
      </c>
      <c r="B92" s="6" t="inlineStr">
        <is>
          <t>Testing</t>
        </is>
      </c>
      <c r="C92" s="14" t="inlineStr">
        <is>
          <t>Add tests for project context switching</t>
        </is>
      </c>
      <c r="D92" s="6" t="inlineStr">
        <is>
          <t>QA / Engineering</t>
        </is>
      </c>
      <c r="E92" s="16" t="inlineStr">
        <is>
          <t>High</t>
        </is>
      </c>
      <c r="F92" s="13" t="inlineStr">
        <is>
          <t>Done</t>
        </is>
      </c>
      <c r="G92" s="13" t="inlineStr">
        <is>
          <t>Week 4</t>
        </is>
      </c>
      <c r="H92" s="18" t="n">
        <v>46318</v>
      </c>
      <c r="I92" s="18" t="n">
        <v>46318</v>
      </c>
      <c r="J92" s="7" t="inlineStr">
        <is>
          <t>Completed 7/23/2026. Project-context and cross-project deep-link regression tests added; PR #107 verifies activation before scoped record rendering.</t>
        </is>
      </c>
    </row>
    <row r="93" ht="32.1" customFormat="1" customHeight="1" s="8">
      <c r="A93" s="13" t="n">
        <v>92</v>
      </c>
      <c r="B93" s="6" t="inlineStr">
        <is>
          <t>Testing</t>
        </is>
      </c>
      <c r="C93" s="14" t="inlineStr">
        <is>
          <t>Add tests for stage advancement</t>
        </is>
      </c>
      <c r="D93" s="6" t="inlineStr">
        <is>
          <t>QA / Engineering</t>
        </is>
      </c>
      <c r="E93" s="16" t="inlineStr">
        <is>
          <t>High</t>
        </is>
      </c>
      <c r="F93" s="13" t="inlineStr">
        <is>
          <t>Done</t>
        </is>
      </c>
      <c r="G93" s="13" t="inlineStr">
        <is>
          <t>Week 4</t>
        </is>
      </c>
      <c r="H93" s="18" t="n">
        <v>46319</v>
      </c>
      <c r="I93" s="18" t="n">
        <v>46319</v>
      </c>
      <c r="J93" s="7" t="inlineStr">
        <is>
          <t>Completed 2026-07-25. Stage/transition tests for submittal/drawing + fab-release gate present; broaden as stage graphs change.</t>
        </is>
      </c>
    </row>
    <row r="94" ht="32.1" customFormat="1" customHeight="1" s="8">
      <c r="A94" s="13" t="n">
        <v>93</v>
      </c>
      <c r="B94" s="6" t="inlineStr">
        <is>
          <t>Testing</t>
        </is>
      </c>
      <c r="C94" s="14" t="inlineStr">
        <is>
          <t>Add tests for assignment flows</t>
        </is>
      </c>
      <c r="D94" s="6" t="inlineStr">
        <is>
          <t>QA / Engineering</t>
        </is>
      </c>
      <c r="E94" s="17" t="inlineStr">
        <is>
          <t>Medium</t>
        </is>
      </c>
      <c r="F94" s="13" t="inlineStr">
        <is>
          <t>In Progress</t>
        </is>
      </c>
      <c r="G94" s="13" t="inlineStr">
        <is>
          <t>Week 4</t>
        </is>
      </c>
      <c r="H94" s="18" t="n">
        <v>46320</v>
      </c>
      <c r="I94" s="18" t="n">
        <v>46320</v>
      </c>
      <c r="J94" s="7" t="inlineStr">
        <is>
          <t>Assignment-flow coverage uneven across modules.</t>
        </is>
      </c>
    </row>
    <row r="95" ht="32.1" customFormat="1" customHeight="1" s="8">
      <c r="A95" s="13" t="n">
        <v>94</v>
      </c>
      <c r="B95" s="6" t="inlineStr">
        <is>
          <t>Testing</t>
        </is>
      </c>
      <c r="C95" s="14" t="inlineStr">
        <is>
          <t>Add tests for cost calculations and KPIs</t>
        </is>
      </c>
      <c r="D95" s="6" t="inlineStr">
        <is>
          <t>QA / Engineering</t>
        </is>
      </c>
      <c r="E95" s="15" t="inlineStr">
        <is>
          <t>Critical</t>
        </is>
      </c>
      <c r="F95" s="13" t="inlineStr">
        <is>
          <t>Done</t>
        </is>
      </c>
      <c r="G95" s="13" t="inlineStr">
        <is>
          <t>Week 4</t>
        </is>
      </c>
      <c r="H95" s="18" t="n">
        <v>46321</v>
      </c>
      <c r="I95" s="18" t="n">
        <v>46321</v>
      </c>
      <c r="J95" s="7" t="inlineStr">
        <is>
          <t>Completed 2026-07-25. Cost/KPI calc tests exist (margin, portfolio, cost rollup, etc.).</t>
        </is>
      </c>
    </row>
    <row r="96" ht="32.1" customFormat="1" customHeight="1" s="8">
      <c r="A96" s="13" t="n">
        <v>95</v>
      </c>
      <c r="B96" s="6" t="inlineStr">
        <is>
          <t>Testing</t>
        </is>
      </c>
      <c r="C96" s="14" t="inlineStr">
        <is>
          <t>Add tests for sync-sensitive workflows</t>
        </is>
      </c>
      <c r="D96" s="6" t="inlineStr">
        <is>
          <t>QA / Engineering</t>
        </is>
      </c>
      <c r="E96" s="15" t="inlineStr">
        <is>
          <t>Critical</t>
        </is>
      </c>
      <c r="F96" s="13" t="inlineStr">
        <is>
          <t>Done</t>
        </is>
      </c>
      <c r="G96" s="13" t="inlineStr">
        <is>
          <t>Week 4</t>
        </is>
      </c>
      <c r="H96" s="18" t="n">
        <v>46322</v>
      </c>
      <c r="I96" s="18" t="n">
        <v>46322</v>
      </c>
      <c r="J96" s="7" t="inlineStr">
        <is>
          <t>Completed 2026-07-25. Sync-sensitive tests present (production hardening / piece sync). SharePoint connector remains unavailable (honest UI).</t>
        </is>
      </c>
    </row>
    <row r="97" ht="45" customFormat="1" customHeight="1" s="8">
      <c r="A97" s="13" t="n">
        <v>96</v>
      </c>
      <c r="B97" s="6" t="inlineStr">
        <is>
          <t>Testing</t>
        </is>
      </c>
      <c r="C97" s="14" t="inlineStr">
        <is>
          <t>Add tests for drawing revision logic</t>
        </is>
      </c>
      <c r="D97" s="6" t="inlineStr">
        <is>
          <t>QA / Engineering</t>
        </is>
      </c>
      <c r="E97" s="15" t="inlineStr">
        <is>
          <t>Critical</t>
        </is>
      </c>
      <c r="F97" s="13" t="inlineStr">
        <is>
          <t>Done</t>
        </is>
      </c>
      <c r="G97" s="13" t="inlineStr">
        <is>
          <t>Week 4</t>
        </is>
      </c>
      <c r="H97" s="18" t="n">
        <v>46323</v>
      </c>
      <c r="I97" s="18" t="n">
        <v>46323</v>
      </c>
      <c r="J97" s="7" t="inlineStr">
        <is>
          <t>Completed 7/22/2026. Drawing revision and exact-record link behavior received focused tests in PR #101; viewer render lifecycle tests added in PR #96.</t>
        </is>
      </c>
    </row>
    <row r="98" ht="32.1" customFormat="1" customHeight="1" s="8">
      <c r="A98" s="13" t="n">
        <v>97</v>
      </c>
      <c r="B98" s="6" t="inlineStr">
        <is>
          <t>Testing</t>
        </is>
      </c>
      <c r="C98" s="14" t="inlineStr">
        <is>
          <t>Add tests for major save forms</t>
        </is>
      </c>
      <c r="D98" s="6" t="inlineStr">
        <is>
          <t>QA / Engineering</t>
        </is>
      </c>
      <c r="E98" s="16" t="inlineStr">
        <is>
          <t>High</t>
        </is>
      </c>
      <c r="F98" s="13" t="inlineStr">
        <is>
          <t>Done</t>
        </is>
      </c>
      <c r="G98" s="13" t="inlineStr">
        <is>
          <t>Week 4</t>
        </is>
      </c>
      <c r="H98" s="18" t="n">
        <v>46324</v>
      </c>
      <c r="I98" s="18" t="n">
        <v>46324</v>
      </c>
      <c r="J98" s="7" t="inlineStr">
        <is>
          <t>Completed 2026-07-25. Major save-form tests for key domains (cost codes, CO payload, closeout, schedule persistence).</t>
        </is>
      </c>
    </row>
    <row r="99" ht="60" customFormat="1" customHeight="1" s="8">
      <c r="A99" s="13" t="n">
        <v>98</v>
      </c>
      <c r="B99" s="6" t="inlineStr">
        <is>
          <t>Testing</t>
        </is>
      </c>
      <c r="C99" s="14" t="inlineStr">
        <is>
          <t>Add tests for permission-sensitive operations</t>
        </is>
      </c>
      <c r="D99" s="6" t="inlineStr">
        <is>
          <t>QA / Engineering</t>
        </is>
      </c>
      <c r="E99" s="16" t="inlineStr">
        <is>
          <t>High</t>
        </is>
      </c>
      <c r="F99" s="13" t="inlineStr">
        <is>
          <t>Done</t>
        </is>
      </c>
      <c r="G99" s="13" t="inlineStr">
        <is>
          <t>Week 4</t>
        </is>
      </c>
      <c r="H99" s="18" t="n">
        <v>46325</v>
      </c>
      <c r="I99" s="18" t="n">
        <v>46325</v>
      </c>
      <c r="J99" s="7" t="inlineStr">
        <is>
          <t>Completed 7/23/2026. Permission-sensitive operations have regression coverage for storage, transmittals, piece archival, desktop reads, and service-only handoffs.</t>
        </is>
      </c>
    </row>
    <row r="100" ht="32.1" customFormat="1" customHeight="1" s="8">
      <c r="A100" s="13" t="n">
        <v>99</v>
      </c>
      <c r="B100" s="6" t="inlineStr">
        <is>
          <t>Production Readiness</t>
        </is>
      </c>
      <c r="C100" s="14" t="inlineStr">
        <is>
          <t>Re-audit all critical modules after refactors</t>
        </is>
      </c>
      <c r="D100" s="6" t="inlineStr">
        <is>
          <t>QA / PM</t>
        </is>
      </c>
      <c r="E100" s="16" t="inlineStr">
        <is>
          <t>High</t>
        </is>
      </c>
      <c r="F100" s="13" t="inlineStr">
        <is>
          <t>Done</t>
        </is>
      </c>
      <c r="G100" s="13" t="inlineStr">
        <is>
          <t>Week 5</t>
        </is>
      </c>
      <c r="H100" s="18" t="n">
        <v>46326</v>
      </c>
      <c r="I100" s="18" t="n">
        <v>46326</v>
      </c>
      <c r="J100" s="7" t="inlineStr">
        <is>
          <t>Completed 2026-07-25 checkpoint. Re-audit via TASK_LEDGER + Sentry triage + IDs 14–17. Re-open after large page refactors.</t>
        </is>
      </c>
    </row>
    <row r="101" ht="30" customFormat="1" customHeight="1" s="8">
      <c r="A101" s="13" t="n">
        <v>100</v>
      </c>
      <c r="B101" s="6" t="inlineStr">
        <is>
          <t>Production Readiness</t>
        </is>
      </c>
      <c r="C101" s="14" t="inlineStr">
        <is>
          <t>Re-run lint with zero critical issues</t>
        </is>
      </c>
      <c r="D101" s="6" t="inlineStr">
        <is>
          <t>Engineering</t>
        </is>
      </c>
      <c r="E101" s="16" t="inlineStr">
        <is>
          <t>High</t>
        </is>
      </c>
      <c r="F101" s="13" t="inlineStr">
        <is>
          <t>Done</t>
        </is>
      </c>
      <c r="G101" s="13" t="inlineStr">
        <is>
          <t>Week 5</t>
        </is>
      </c>
      <c r="H101" s="18" t="n">
        <v>46327</v>
      </c>
      <c r="I101" s="18" t="n">
        <v>46327</v>
      </c>
      <c r="J101" s="7" t="inlineStr">
        <is>
          <t>Completed 7/21/2026. Lint rerun successfully with no blocking/critical lint failures in production CI.</t>
        </is>
      </c>
    </row>
    <row r="102" ht="45" customFormat="1" customHeight="1" s="8">
      <c r="A102" s="13" t="n">
        <v>101</v>
      </c>
      <c r="B102" s="6" t="inlineStr">
        <is>
          <t>Production Readiness</t>
        </is>
      </c>
      <c r="C102" s="14" t="inlineStr">
        <is>
          <t>Re-run typecheck with expanded coverage</t>
        </is>
      </c>
      <c r="D102" s="6" t="inlineStr">
        <is>
          <t>Engineering</t>
        </is>
      </c>
      <c r="E102" s="16" t="inlineStr">
        <is>
          <t>High</t>
        </is>
      </c>
      <c r="F102" s="13" t="inlineStr">
        <is>
          <t>Done</t>
        </is>
      </c>
      <c r="G102" s="13" t="inlineStr">
        <is>
          <t>Week 5</t>
        </is>
      </c>
      <c r="H102" s="18" t="n">
        <v>46328</v>
      </c>
      <c r="I102" s="18" t="n">
        <v>46328</v>
      </c>
      <c r="J102" s="7" t="inlineStr">
        <is>
          <t>Completed 7/23/2026. Expanded TypeScript/JavaScript/strict/noImplicitAny checks pass; legacy findings remain grandfathered and visible.</t>
        </is>
      </c>
    </row>
    <row r="103" ht="32.1" customFormat="1" customHeight="1" s="8">
      <c r="A103" s="13" t="n">
        <v>102</v>
      </c>
      <c r="B103" s="6" t="inlineStr">
        <is>
          <t>Production Readiness</t>
        </is>
      </c>
      <c r="C103" s="14" t="inlineStr">
        <is>
          <t>Re-test all core workflows</t>
        </is>
      </c>
      <c r="D103" s="6" t="inlineStr">
        <is>
          <t>QA</t>
        </is>
      </c>
      <c r="E103" s="15" t="inlineStr">
        <is>
          <t>Critical</t>
        </is>
      </c>
      <c r="F103" s="13" t="inlineStr">
        <is>
          <t>Blocked</t>
        </is>
      </c>
      <c r="G103" s="13" t="inlineStr">
        <is>
          <t>Week 5</t>
        </is>
      </c>
      <c r="H103" s="18" t="n">
        <v>46329</v>
      </c>
      <c r="I103" s="18" t="n">
        <v>46329</v>
      </c>
      <c r="J103" s="7" t="inlineStr">
        <is>
          <t>Full core-workflow UAT blocked without authenticated staging session + GitHub Actions billing/spending limit.</t>
        </is>
      </c>
    </row>
    <row r="104" ht="32.1" customFormat="1" customHeight="1" s="8">
      <c r="A104" s="13" t="n">
        <v>103</v>
      </c>
      <c r="B104" s="6" t="inlineStr">
        <is>
          <t>Production Readiness</t>
        </is>
      </c>
      <c r="C104" s="14" t="inlineStr">
        <is>
          <t>Re-check permissions and auth</t>
        </is>
      </c>
      <c r="D104" s="6" t="inlineStr">
        <is>
          <t>QA / Engineering</t>
        </is>
      </c>
      <c r="E104" s="15" t="inlineStr">
        <is>
          <t>Critical</t>
        </is>
      </c>
      <c r="F104" s="13" t="inlineStr">
        <is>
          <t>Done</t>
        </is>
      </c>
      <c r="G104" s="13" t="inlineStr">
        <is>
          <t>Week 5</t>
        </is>
      </c>
      <c r="H104" s="18" t="n">
        <v>46330</v>
      </c>
      <c r="I104" s="18" t="n">
        <v>46330</v>
      </c>
      <c r="J104" s="7" t="inlineStr">
        <is>
          <t>Completed 2026-07-25 checkpoint. Auth/permissions re-check (LS identity auth removal, JWT gates, RLS). Continuous verification continues operationally.</t>
        </is>
      </c>
    </row>
    <row r="105" ht="32.1" customFormat="1" customHeight="1" s="8">
      <c r="A105" s="13" t="n">
        <v>104</v>
      </c>
      <c r="B105" s="6" t="inlineStr">
        <is>
          <t>Production Readiness</t>
        </is>
      </c>
      <c r="C105" s="14" t="inlineStr">
        <is>
          <t>Re-check project boundary enforcement</t>
        </is>
      </c>
      <c r="D105" s="6" t="inlineStr">
        <is>
          <t>QA</t>
        </is>
      </c>
      <c r="E105" s="16" t="inlineStr">
        <is>
          <t>High</t>
        </is>
      </c>
      <c r="F105" s="13" t="inlineStr">
        <is>
          <t>Done</t>
        </is>
      </c>
      <c r="G105" s="13" t="inlineStr">
        <is>
          <t>Week 5</t>
        </is>
      </c>
      <c r="H105" s="18" t="n">
        <v>46331</v>
      </c>
      <c r="I105" s="18" t="n">
        <v>46331</v>
      </c>
      <c r="J105" s="7" t="inlineStr">
        <is>
          <t>Completed 2026-07-25 checkpoint. Project boundary re-check in code (FK embeds, scoped selects, withProjectId). Interactive retest = ID 102.</t>
        </is>
      </c>
    </row>
    <row r="106" ht="32.1" customFormat="1" customHeight="1" s="8">
      <c r="A106" s="13" t="n">
        <v>105</v>
      </c>
      <c r="B106" s="6" t="inlineStr">
        <is>
          <t>Production Readiness</t>
        </is>
      </c>
      <c r="C106" s="14" t="inlineStr">
        <is>
          <t>Re-check UI trust and silent failure risk</t>
        </is>
      </c>
      <c r="D106" s="6" t="inlineStr">
        <is>
          <t>QA / PM</t>
        </is>
      </c>
      <c r="E106" s="16" t="inlineStr">
        <is>
          <t>High</t>
        </is>
      </c>
      <c r="F106" s="13" t="inlineStr">
        <is>
          <t>Done</t>
        </is>
      </c>
      <c r="G106" s="13" t="inlineStr">
        <is>
          <t>Week 5</t>
        </is>
      </c>
      <c r="H106" s="18" t="n">
        <v>46332</v>
      </c>
      <c r="I106" s="18" t="n">
        <v>46332</v>
      </c>
      <c r="J106" s="7" t="inlineStr">
        <is>
          <t>Completed 2026-07-25 checkpoint. UX trust re-check (honest Sync Now, coming-soon inventory, sync honesty ID 14). Catalog future items intentional.</t>
        </is>
      </c>
    </row>
    <row r="107" customFormat="1" s="8"/>
    <row r="108" customFormat="1" s="8"/>
    <row r="109" customFormat="1" s="8"/>
    <row r="110" customFormat="1" s="8"/>
    <row r="111" customFormat="1" s="8"/>
    <row r="112" customFormat="1" s="8"/>
    <row r="113" customFormat="1" s="8"/>
    <row r="114" customFormat="1" s="8"/>
    <row r="115" customFormat="1" s="8"/>
    <row r="116" customFormat="1" s="8"/>
    <row r="117" customFormat="1" s="8"/>
    <row r="118" customFormat="1" s="8"/>
    <row r="119" customFormat="1" s="8"/>
    <row r="120" customFormat="1" s="8"/>
    <row r="121" customFormat="1" s="8"/>
    <row r="122" customFormat="1" s="8"/>
    <row r="123" customFormat="1" s="8"/>
    <row r="124" customFormat="1" s="8"/>
    <row r="125" customFormat="1" s="8"/>
    <row r="126" customFormat="1" s="8"/>
    <row r="127" customFormat="1" s="8"/>
    <row r="128" customFormat="1" s="8"/>
    <row r="129" customFormat="1" s="8"/>
    <row r="130" customFormat="1" s="8"/>
    <row r="131" customFormat="1" s="8"/>
    <row r="132" customFormat="1" s="8"/>
    <row r="133" customFormat="1" s="8"/>
    <row r="134" customFormat="1" s="8"/>
    <row r="135" customFormat="1" s="8"/>
    <row r="136" customFormat="1" s="8"/>
    <row r="137" customFormat="1" s="8"/>
    <row r="138" customFormat="1" s="8"/>
    <row r="139" customFormat="1" s="8"/>
    <row r="140" customFormat="1" s="8"/>
    <row r="141" customFormat="1" s="8"/>
    <row r="142" customFormat="1" s="8"/>
    <row r="143" customFormat="1" s="8"/>
    <row r="144" customFormat="1" s="8"/>
    <row r="145" customFormat="1" s="8"/>
    <row r="146" customFormat="1" s="8"/>
    <row r="147" customFormat="1" s="8"/>
    <row r="148" customFormat="1" s="8"/>
    <row r="149" customFormat="1" s="8"/>
    <row r="150" customFormat="1" s="8"/>
    <row r="151" customFormat="1" s="8"/>
    <row r="152" customFormat="1" s="8"/>
    <row r="153" customFormat="1" s="8"/>
    <row r="154" customFormat="1" s="8"/>
    <row r="155" customFormat="1" s="8"/>
    <row r="156" customFormat="1" s="8"/>
    <row r="157" customFormat="1" s="8"/>
    <row r="158" customFormat="1" s="8"/>
    <row r="159" customFormat="1" s="8"/>
    <row r="160" customFormat="1" s="8"/>
    <row r="161" customFormat="1" s="8"/>
    <row r="162" customFormat="1" s="8"/>
    <row r="163" customFormat="1" s="8"/>
    <row r="164" customFormat="1" s="8"/>
    <row r="165" customFormat="1" s="8"/>
    <row r="166" customFormat="1" s="8"/>
    <row r="167" customFormat="1" s="8"/>
    <row r="168" customFormat="1" s="8"/>
    <row r="169" customFormat="1" s="8"/>
    <row r="170" customFormat="1" s="8"/>
    <row r="171" customFormat="1" s="8"/>
    <row r="172" customFormat="1" s="8"/>
    <row r="173" customFormat="1" s="8"/>
    <row r="174" customFormat="1" s="8"/>
    <row r="175" customFormat="1" s="8"/>
    <row r="176" customFormat="1" s="8"/>
    <row r="177" customFormat="1" s="8"/>
    <row r="178" customFormat="1" s="8"/>
    <row r="179" customFormat="1" s="8"/>
    <row r="180" customFormat="1" s="8"/>
    <row r="181" customFormat="1" s="8"/>
    <row r="182" customFormat="1" s="8"/>
    <row r="183" customFormat="1" s="8"/>
    <row r="184" customFormat="1" s="8"/>
    <row r="185" customFormat="1" s="8"/>
    <row r="186" customFormat="1" s="8"/>
    <row r="187" customFormat="1" s="8"/>
    <row r="188" customFormat="1" s="8"/>
    <row r="189" customFormat="1" s="8"/>
    <row r="190" customFormat="1" s="8"/>
    <row r="191" customFormat="1" s="8"/>
    <row r="192" customFormat="1" s="8"/>
    <row r="193" customFormat="1" s="8"/>
    <row r="194" customFormat="1" s="8"/>
    <row r="195" customFormat="1" s="8"/>
    <row r="196" customFormat="1" s="8"/>
    <row r="197" customFormat="1" s="8"/>
    <row r="198" customFormat="1" s="8"/>
    <row r="199" customFormat="1" s="8"/>
    <row r="200" customFormat="1" s="8"/>
    <row r="201" customFormat="1" s="8"/>
    <row r="202" customFormat="1" s="8"/>
    <row r="203" customFormat="1" s="8"/>
    <row r="204" customFormat="1" s="8"/>
    <row r="205" customFormat="1" s="8"/>
    <row r="206" customFormat="1" s="8"/>
    <row r="207" customFormat="1" s="8"/>
    <row r="208" customFormat="1" s="8"/>
    <row r="209" customFormat="1" s="8"/>
    <row r="210" customFormat="1" s="8"/>
    <row r="211" customFormat="1" s="8"/>
    <row r="212" customFormat="1" s="8"/>
    <row r="213" customFormat="1" s="8"/>
    <row r="214" customFormat="1" s="8"/>
    <row r="215" customFormat="1" s="8"/>
    <row r="216" customFormat="1" s="8"/>
    <row r="217" customFormat="1" s="8"/>
    <row r="218" customFormat="1" s="8"/>
    <row r="219" customFormat="1" s="8"/>
    <row r="220" customFormat="1" s="8"/>
    <row r="221" customFormat="1" s="8"/>
    <row r="222" customFormat="1" s="8"/>
    <row r="223" customFormat="1" s="8"/>
    <row r="224" customFormat="1" s="8"/>
    <row r="225" customFormat="1" s="8"/>
    <row r="226" customFormat="1" s="8"/>
    <row r="227" customFormat="1" s="8"/>
    <row r="228" customFormat="1" s="8"/>
    <row r="229" customFormat="1" s="8"/>
    <row r="230" customFormat="1" s="8"/>
    <row r="231" customFormat="1" s="8"/>
    <row r="232" customFormat="1" s="8"/>
    <row r="233" customFormat="1" s="8"/>
    <row r="234" customFormat="1" s="8"/>
    <row r="235" customFormat="1" s="8"/>
    <row r="236" customFormat="1" s="8"/>
    <row r="237" customFormat="1" s="8"/>
    <row r="238" customFormat="1" s="8"/>
    <row r="239" customFormat="1" s="8"/>
    <row r="240" customFormat="1" s="8"/>
    <row r="241" customFormat="1" s="8"/>
    <row r="242" customFormat="1" s="8"/>
    <row r="243" customFormat="1" s="8"/>
    <row r="244" customFormat="1" s="8"/>
    <row r="245" customFormat="1" s="8"/>
    <row r="246" customFormat="1" s="8"/>
    <row r="247" customFormat="1" s="8"/>
    <row r="248" customFormat="1" s="8"/>
    <row r="249" customFormat="1" s="8"/>
    <row r="250" customFormat="1" s="8"/>
    <row r="251" customFormat="1" s="8"/>
    <row r="252" customFormat="1" s="8"/>
    <row r="253" customFormat="1" s="8"/>
    <row r="254" customFormat="1" s="8"/>
    <row r="255" customFormat="1" s="8"/>
    <row r="256" customFormat="1" s="8"/>
    <row r="257" customFormat="1" s="8"/>
    <row r="258" customFormat="1" s="8"/>
    <row r="259" customFormat="1" s="8"/>
    <row r="260" customFormat="1" s="8"/>
    <row r="261" customFormat="1" s="8"/>
    <row r="262" customFormat="1" s="8"/>
    <row r="263" customFormat="1" s="8"/>
    <row r="264" customFormat="1" s="8"/>
    <row r="265" customFormat="1" s="8"/>
    <row r="266" customFormat="1" s="8"/>
    <row r="267" customFormat="1" s="8"/>
    <row r="268" customFormat="1" s="8"/>
    <row r="269" customFormat="1" s="8"/>
    <row r="270" customFormat="1" s="8"/>
    <row r="271" customFormat="1" s="8"/>
    <row r="272" customFormat="1" s="8"/>
    <row r="273" customFormat="1" s="8"/>
    <row r="274" customFormat="1" s="8"/>
    <row r="275" customFormat="1" s="8"/>
    <row r="276" customFormat="1" s="8"/>
    <row r="277" customFormat="1" s="8"/>
    <row r="278" customFormat="1" s="8"/>
    <row r="279" customFormat="1" s="8"/>
    <row r="280" customFormat="1" s="8"/>
    <row r="281" customFormat="1" s="8"/>
    <row r="282" customFormat="1" s="8"/>
    <row r="283" customFormat="1" s="8"/>
    <row r="284" customFormat="1" s="8"/>
    <row r="285" customFormat="1" s="8"/>
    <row r="286" customFormat="1" s="8"/>
    <row r="287" customFormat="1" s="8"/>
  </sheetData>
  <conditionalFormatting sqref="A2:J106">
    <cfRule type="expression" priority="13" dxfId="23">
      <formula>OR($F2="Done",$F2="QA Complete")</formula>
    </cfRule>
    <cfRule type="expression" priority="14" dxfId="22">
      <formula>$F2="Blocked"</formula>
    </cfRule>
  </conditionalFormatting>
  <conditionalFormatting sqref="E2:E106">
    <cfRule type="containsText" priority="1" operator="containsText" dxfId="0" text="Critical"/>
    <cfRule type="containsText" priority="2" operator="containsText" dxfId="3" text="High"/>
    <cfRule type="containsText" priority="3" operator="containsText" dxfId="7" text="Medium"/>
    <cfRule type="containsText" priority="4" operator="containsText" dxfId="1" text="Low"/>
  </conditionalFormatting>
  <conditionalFormatting sqref="F2:F106">
    <cfRule type="containsText" priority="5" operator="containsText" dxfId="5" text="Done"/>
    <cfRule type="containsText" priority="7" operator="containsText" dxfId="4" text="Ready for QA"/>
    <cfRule type="containsText" priority="8" operator="containsText" dxfId="3" text="In Progress"/>
    <cfRule type="containsText" priority="9" operator="containsText" dxfId="0" text="Blocked"/>
    <cfRule type="containsText" priority="10" operator="containsText" dxfId="1" text="Not Started"/>
  </conditionalFormatting>
  <conditionalFormatting sqref="H2:H106">
    <cfRule type="expression" priority="11" dxfId="0">
      <formula>AND($H2&lt;TODAY(),$H2&lt;&gt;"",$F2&lt;&gt;"Done",$F2&lt;&gt;"QA Complete")</formula>
    </cfRule>
    <cfRule type="expression" priority="12" dxfId="3">
      <formula>AND($H2&gt;=TODAY(),$H2&lt;=TODAY()+7,$F2&lt;&gt;"Done",$F2&lt;&gt;"QA Complete")</formula>
    </cfRule>
  </conditionalFormatting>
  <dataValidations count="2">
    <dataValidation sqref="F2:F106" showDropDown="0" showInputMessage="1" showErrorMessage="1" allowBlank="1" type="list">
      <formula1>"Not Started,In Progress,Blocked,Ready for QA,QA Complete,Done"</formula1>
    </dataValidation>
    <dataValidation sqref="E2:E106" showDropDown="0" showInputMessage="0" showErrorMessage="0" allowBlank="0" type="list">
      <formula1>"Critical,High,Medium,Low"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:H1"/>
    </sheetView>
  </sheetViews>
  <sheetFormatPr baseColWidth="8" defaultRowHeight="15"/>
  <cols>
    <col width="29" customWidth="1" min="1" max="1"/>
    <col width="13" customWidth="1" min="2" max="8"/>
  </cols>
  <sheetData>
    <row r="1" ht="36" customHeight="1">
      <c r="A1" s="53" t="inlineStr">
        <is>
          <t>SteelBuild Pro Action Plan Dashboard</t>
        </is>
      </c>
    </row>
    <row r="2" ht="27.95" customHeight="1">
      <c r="A2" s="19" t="inlineStr">
        <is>
          <t>Plan start</t>
        </is>
      </c>
      <c r="B2" s="20" t="n">
        <v>46111.5</v>
      </c>
      <c r="C2" s="20" t="inlineStr">
        <is>
          <t>As of</t>
        </is>
      </c>
      <c r="D2" s="82" t="n">
        <v>46229</v>
      </c>
      <c r="E2" s="19" t="inlineStr">
        <is>
          <t>Completion</t>
        </is>
      </c>
      <c r="F2" s="21">
        <f>(COUNTIF(Tracker!$F$2:$F$106,"Done")+COUNTIF(Tracker!$F$2:$F$106,"QA Complete"))/COUNTA(Tracker!$C$2:$C$106)</f>
        <v/>
      </c>
      <c r="G2" s="19" t="inlineStr">
        <is>
          <t>Open critical</t>
        </is>
      </c>
      <c r="H2" s="19">
        <f>COUNTIFS(Tracker!$E$2:$E$106,"Critical",Tracker!$F$2:$F$106,"&lt;&gt;Done",Tracker!$F$2:$F$106,"&lt;&gt;QA Complete")</f>
        <v/>
      </c>
    </row>
    <row r="4">
      <c r="A4" s="66" t="inlineStr">
        <is>
          <t>Total Tasks</t>
        </is>
      </c>
      <c r="B4" s="67" t="n"/>
      <c r="C4" s="68" t="inlineStr">
        <is>
          <t>Completed</t>
        </is>
      </c>
      <c r="D4" s="67" t="n"/>
      <c r="E4" s="69" t="inlineStr">
        <is>
          <t>In Progress</t>
        </is>
      </c>
      <c r="F4" s="67" t="n"/>
      <c r="G4" s="70" t="inlineStr">
        <is>
          <t>Blocked</t>
        </is>
      </c>
      <c r="H4" s="67" t="n"/>
    </row>
    <row r="5">
      <c r="A5" s="71">
        <f>COUNTA(Tracker!$C$2:$C$106)</f>
        <v/>
      </c>
      <c r="B5" s="72" t="n"/>
      <c r="C5" s="73">
        <f>COUNTIF(Tracker!$F$2:$F$106,"Done")</f>
        <v/>
      </c>
      <c r="D5" s="72" t="n"/>
      <c r="E5" s="74">
        <f>COUNTIF(Tracker!$F$2:$F$106,"In Progress")</f>
        <v/>
      </c>
      <c r="F5" s="72" t="n"/>
      <c r="G5" s="75">
        <f>COUNTIF(Tracker!$F$2:$F$106,"Blocked")</f>
        <v/>
      </c>
      <c r="H5" s="72" t="n"/>
    </row>
    <row r="6">
      <c r="A6" s="76" t="n"/>
      <c r="B6" s="77" t="n"/>
      <c r="C6" s="76" t="n"/>
      <c r="D6" s="77" t="n"/>
      <c r="E6" s="76" t="n"/>
      <c r="F6" s="77" t="n"/>
      <c r="G6" s="76" t="n"/>
      <c r="H6" s="77" t="n"/>
    </row>
    <row r="8">
      <c r="A8" s="78" t="inlineStr">
        <is>
          <t>Not Started</t>
        </is>
      </c>
      <c r="B8" s="67" t="n"/>
      <c r="C8" s="79" t="inlineStr">
        <is>
          <t>Ready for QA</t>
        </is>
      </c>
      <c r="D8" s="67" t="n"/>
      <c r="E8" s="68" t="inlineStr">
        <is>
          <t>QA Complete</t>
        </is>
      </c>
      <c r="F8" s="67" t="n"/>
      <c r="G8" s="70" t="inlineStr">
        <is>
          <t>Overdue Open</t>
        </is>
      </c>
      <c r="H8" s="67" t="n"/>
    </row>
    <row r="9">
      <c r="A9" s="80">
        <f>COUNTIF(Tracker!$F$2:$F$106,"Not Started")</f>
        <v/>
      </c>
      <c r="B9" s="72" t="n"/>
      <c r="C9" s="71">
        <f>COUNTIF(Tracker!$F$2:$F$106,"Ready for QA")</f>
        <v/>
      </c>
      <c r="D9" s="72" t="n"/>
      <c r="E9" s="73">
        <f>COUNTIF(Tracker!$F$2:$F$106,"QA Complete")</f>
        <v/>
      </c>
      <c r="F9" s="72" t="n"/>
      <c r="G9" s="75">
        <f>COUNTIFS(Tracker!$H$2:$H$106,"&lt;"&amp;TODAY(),Tracker!$F$2:$F$106,"&lt;&gt;Done",Tracker!$F$2:$F$106,"&lt;&gt;QA Complete")</f>
        <v/>
      </c>
      <c r="H9" s="72" t="n"/>
    </row>
    <row r="10">
      <c r="A10" s="76" t="n"/>
      <c r="B10" s="77" t="n"/>
      <c r="C10" s="76" t="n"/>
      <c r="D10" s="77" t="n"/>
      <c r="E10" s="76" t="n"/>
      <c r="F10" s="77" t="n"/>
      <c r="G10" s="76" t="n"/>
      <c r="H10" s="77" t="n"/>
    </row>
    <row r="12" ht="27.95" customHeight="1">
      <c r="A12" s="22" t="inlineStr">
        <is>
          <t>Workstream</t>
        </is>
      </c>
      <c r="B12" s="22" t="inlineStr">
        <is>
          <t>Task Count</t>
        </is>
      </c>
      <c r="C12" s="22" t="inlineStr">
        <is>
          <t>Critical</t>
        </is>
      </c>
      <c r="D12" s="22" t="inlineStr">
        <is>
          <t>High</t>
        </is>
      </c>
      <c r="E12" s="22" t="inlineStr">
        <is>
          <t>Medium</t>
        </is>
      </c>
      <c r="F12" s="22" t="inlineStr">
        <is>
          <t>Completed</t>
        </is>
      </c>
      <c r="G12" s="22" t="inlineStr">
        <is>
          <t>Open</t>
        </is>
      </c>
    </row>
    <row r="13">
      <c r="A13" t="inlineStr">
        <is>
          <t>Backend Hardening</t>
        </is>
      </c>
      <c r="B13" s="23">
        <f>COUNTIF(Tracker!$B$2:$B$106,A13)</f>
        <v/>
      </c>
      <c r="C13" s="23">
        <f>COUNTIFS(Tracker!$B$2:$B$106,A13,Tracker!$E$2:$E$106,"Critical")</f>
        <v/>
      </c>
      <c r="D13" s="23">
        <f>COUNTIFS(Tracker!$B$2:$B$106,A13,Tracker!$E$2:$E$106,"High")</f>
        <v/>
      </c>
      <c r="E13" s="23">
        <f>COUNTIFS(Tracker!$B$2:$B$106,A13,Tracker!$E$2:$E$106,"Medium")</f>
        <v/>
      </c>
      <c r="F13" s="23">
        <f>COUNTIFS(Tracker!$B$2:$B$106,A13,Tracker!$F$2:$F$106,"Done")+COUNTIFS(Tracker!$B$2:$B$106,A13,Tracker!$F$2:$F$106,"QA Complete")</f>
        <v/>
      </c>
      <c r="G13" s="23">
        <f>B13-F13</f>
        <v/>
      </c>
    </row>
    <row r="14">
      <c r="A14" t="inlineStr">
        <is>
          <t>Broken Workflow Fixes</t>
        </is>
      </c>
      <c r="B14" s="23">
        <f>COUNTIF(Tracker!$B$2:$B$106,A14)</f>
        <v/>
      </c>
      <c r="C14" s="23">
        <f>COUNTIFS(Tracker!$B$2:$B$106,A14,Tracker!$E$2:$E$106,"Critical")</f>
        <v/>
      </c>
      <c r="D14" s="23">
        <f>COUNTIFS(Tracker!$B$2:$B$106,A14,Tracker!$E$2:$E$106,"High")</f>
        <v/>
      </c>
      <c r="E14" s="23">
        <f>COUNTIFS(Tracker!$B$2:$B$106,A14,Tracker!$E$2:$E$106,"Medium")</f>
        <v/>
      </c>
      <c r="F14" s="23">
        <f>COUNTIFS(Tracker!$B$2:$B$106,A14,Tracker!$F$2:$F$106,"Done")+COUNTIFS(Tracker!$B$2:$B$106,A14,Tracker!$F$2:$F$106,"QA Complete")</f>
        <v/>
      </c>
      <c r="G14" s="23">
        <f>B14-F14</f>
        <v/>
      </c>
    </row>
    <row r="15">
      <c r="A15" t="inlineStr">
        <is>
          <t>Codebase Cleanup</t>
        </is>
      </c>
      <c r="B15" s="23">
        <f>COUNTIF(Tracker!$B$2:$B$106,A15)</f>
        <v/>
      </c>
      <c r="C15" s="23">
        <f>COUNTIFS(Tracker!$B$2:$B$106,A15,Tracker!$E$2:$E$106,"Critical")</f>
        <v/>
      </c>
      <c r="D15" s="23">
        <f>COUNTIFS(Tracker!$B$2:$B$106,A15,Tracker!$E$2:$E$106,"High")</f>
        <v/>
      </c>
      <c r="E15" s="23">
        <f>COUNTIFS(Tracker!$B$2:$B$106,A15,Tracker!$E$2:$E$106,"Medium")</f>
        <v/>
      </c>
      <c r="F15" s="23">
        <f>COUNTIFS(Tracker!$B$2:$B$106,A15,Tracker!$F$2:$F$106,"Done")+COUNTIFS(Tracker!$B$2:$B$106,A15,Tracker!$F$2:$F$106,"QA Complete")</f>
        <v/>
      </c>
      <c r="G15" s="23">
        <f>B15-F15</f>
        <v/>
      </c>
    </row>
    <row r="16">
      <c r="A16" t="inlineStr">
        <is>
          <t>Engineering Discipline</t>
        </is>
      </c>
      <c r="B16" s="23">
        <f>COUNTIF(Tracker!$B$2:$B$106,A16)</f>
        <v/>
      </c>
      <c r="C16" s="23">
        <f>COUNTIFS(Tracker!$B$2:$B$106,A16,Tracker!$E$2:$E$106,"Critical")</f>
        <v/>
      </c>
      <c r="D16" s="23">
        <f>COUNTIFS(Tracker!$B$2:$B$106,A16,Tracker!$E$2:$E$106,"High")</f>
        <v/>
      </c>
      <c r="E16" s="23">
        <f>COUNTIFS(Tracker!$B$2:$B$106,A16,Tracker!$E$2:$E$106,"Medium")</f>
        <v/>
      </c>
      <c r="F16" s="23">
        <f>COUNTIFS(Tracker!$B$2:$B$106,A16,Tracker!$F$2:$F$106,"Done")+COUNTIFS(Tracker!$B$2:$B$106,A16,Tracker!$F$2:$F$106,"QA Complete")</f>
        <v/>
      </c>
      <c r="G16" s="23">
        <f>B16-F16</f>
        <v/>
      </c>
    </row>
    <row r="17">
      <c r="A17" t="inlineStr">
        <is>
          <t>Immediate Stabilization</t>
        </is>
      </c>
      <c r="B17" s="23">
        <f>COUNTIF(Tracker!$B$2:$B$106,A17)</f>
        <v/>
      </c>
      <c r="C17" s="23">
        <f>COUNTIFS(Tracker!$B$2:$B$106,A17,Tracker!$E$2:$E$106,"Critical")</f>
        <v/>
      </c>
      <c r="D17" s="23">
        <f>COUNTIFS(Tracker!$B$2:$B$106,A17,Tracker!$E$2:$E$106,"High")</f>
        <v/>
      </c>
      <c r="E17" s="23">
        <f>COUNTIFS(Tracker!$B$2:$B$106,A17,Tracker!$E$2:$E$106,"Medium")</f>
        <v/>
      </c>
      <c r="F17" s="23">
        <f>COUNTIFS(Tracker!$B$2:$B$106,A17,Tracker!$F$2:$F$106,"Done")+COUNTIFS(Tracker!$B$2:$B$106,A17,Tracker!$F$2:$F$106,"QA Complete")</f>
        <v/>
      </c>
      <c r="G17" s="23">
        <f>B17-F17</f>
        <v/>
      </c>
    </row>
    <row r="18">
      <c r="A18" t="inlineStr">
        <is>
          <t>Logic Extraction</t>
        </is>
      </c>
      <c r="B18" s="23">
        <f>COUNTIF(Tracker!$B$2:$B$106,A18)</f>
        <v/>
      </c>
      <c r="C18" s="23">
        <f>COUNTIFS(Tracker!$B$2:$B$106,A18,Tracker!$E$2:$E$106,"Critical")</f>
        <v/>
      </c>
      <c r="D18" s="23">
        <f>COUNTIFS(Tracker!$B$2:$B$106,A18,Tracker!$E$2:$E$106,"High")</f>
        <v/>
      </c>
      <c r="E18" s="23">
        <f>COUNTIFS(Tracker!$B$2:$B$106,A18,Tracker!$E$2:$E$106,"Medium")</f>
        <v/>
      </c>
      <c r="F18" s="23">
        <f>COUNTIFS(Tracker!$B$2:$B$106,A18,Tracker!$F$2:$F$106,"Done")+COUNTIFS(Tracker!$B$2:$B$106,A18,Tracker!$F$2:$F$106,"QA Complete")</f>
        <v/>
      </c>
      <c r="G18" s="23">
        <f>B18-F18</f>
        <v/>
      </c>
    </row>
    <row r="19">
      <c r="A19" t="inlineStr">
        <is>
          <t>Production Readiness</t>
        </is>
      </c>
      <c r="B19" s="23">
        <f>COUNTIF(Tracker!$B$2:$B$106,A19)</f>
        <v/>
      </c>
      <c r="C19" s="23">
        <f>COUNTIFS(Tracker!$B$2:$B$106,A19,Tracker!$E$2:$E$106,"Critical")</f>
        <v/>
      </c>
      <c r="D19" s="23">
        <f>COUNTIFS(Tracker!$B$2:$B$106,A19,Tracker!$E$2:$E$106,"High")</f>
        <v/>
      </c>
      <c r="E19" s="23">
        <f>COUNTIFS(Tracker!$B$2:$B$106,A19,Tracker!$E$2:$E$106,"Medium")</f>
        <v/>
      </c>
      <c r="F19" s="23">
        <f>COUNTIFS(Tracker!$B$2:$B$106,A19,Tracker!$F$2:$F$106,"Done")+COUNTIFS(Tracker!$B$2:$B$106,A19,Tracker!$F$2:$F$106,"QA Complete")</f>
        <v/>
      </c>
      <c r="G19" s="23">
        <f>B19-F19</f>
        <v/>
      </c>
    </row>
    <row r="20">
      <c r="A20" t="inlineStr">
        <is>
          <t>Project Boundaries</t>
        </is>
      </c>
      <c r="B20" s="23">
        <f>COUNTIF(Tracker!$B$2:$B$106,A20)</f>
        <v/>
      </c>
      <c r="C20" s="23">
        <f>COUNTIFS(Tracker!$B$2:$B$106,A20,Tracker!$E$2:$E$106,"Critical")</f>
        <v/>
      </c>
      <c r="D20" s="23">
        <f>COUNTIFS(Tracker!$B$2:$B$106,A20,Tracker!$E$2:$E$106,"High")</f>
        <v/>
      </c>
      <c r="E20" s="23">
        <f>COUNTIFS(Tracker!$B$2:$B$106,A20,Tracker!$E$2:$E$106,"Medium")</f>
        <v/>
      </c>
      <c r="F20" s="23">
        <f>COUNTIFS(Tracker!$B$2:$B$106,A20,Tracker!$F$2:$F$106,"Done")+COUNTIFS(Tracker!$B$2:$B$106,A20,Tracker!$F$2:$F$106,"QA Complete")</f>
        <v/>
      </c>
      <c r="G20" s="23">
        <f>B20-F20</f>
        <v/>
      </c>
    </row>
    <row r="21">
      <c r="A21" t="inlineStr">
        <is>
          <t>Repo Hygiene</t>
        </is>
      </c>
      <c r="B21" s="23">
        <f>COUNTIF(Tracker!$B$2:$B$106,A21)</f>
        <v/>
      </c>
      <c r="C21" s="23">
        <f>COUNTIFS(Tracker!$B$2:$B$106,A21,Tracker!$E$2:$E$106,"Critical")</f>
        <v/>
      </c>
      <c r="D21" s="23">
        <f>COUNTIFS(Tracker!$B$2:$B$106,A21,Tracker!$E$2:$E$106,"High")</f>
        <v/>
      </c>
      <c r="E21" s="23">
        <f>COUNTIFS(Tracker!$B$2:$B$106,A21,Tracker!$E$2:$E$106,"Medium")</f>
        <v/>
      </c>
      <c r="F21" s="23">
        <f>COUNTIFS(Tracker!$B$2:$B$106,A21,Tracker!$F$2:$F$106,"Done")+COUNTIFS(Tracker!$B$2:$B$106,A21,Tracker!$F$2:$F$106,"QA Complete")</f>
        <v/>
      </c>
      <c r="G21" s="23">
        <f>B21-F21</f>
        <v/>
      </c>
    </row>
    <row r="22">
      <c r="A22" t="inlineStr">
        <is>
          <t>Runtime Stability</t>
        </is>
      </c>
      <c r="B22" s="23">
        <f>COUNTIF(Tracker!$B$2:$B$106,A22)</f>
        <v/>
      </c>
      <c r="C22" s="23">
        <f>COUNTIFS(Tracker!$B$2:$B$106,A22,Tracker!$E$2:$E$106,"Critical")</f>
        <v/>
      </c>
      <c r="D22" s="23">
        <f>COUNTIFS(Tracker!$B$2:$B$106,A22,Tracker!$E$2:$E$106,"High")</f>
        <v/>
      </c>
      <c r="E22" s="23">
        <f>COUNTIFS(Tracker!$B$2:$B$106,A22,Tracker!$E$2:$E$106,"Medium")</f>
        <v/>
      </c>
      <c r="F22" s="23">
        <f>COUNTIFS(Tracker!$B$2:$B$106,A22,Tracker!$F$2:$F$106,"Done")+COUNTIFS(Tracker!$B$2:$B$106,A22,Tracker!$F$2:$F$106,"QA Complete")</f>
        <v/>
      </c>
      <c r="G22" s="23">
        <f>B22-F22</f>
        <v/>
      </c>
    </row>
    <row r="23">
      <c r="A23" t="inlineStr">
        <is>
          <t>Security &amp; Config</t>
        </is>
      </c>
      <c r="B23" s="23">
        <f>COUNTIF(Tracker!$B$2:$B$106,A23)</f>
        <v/>
      </c>
      <c r="C23" s="23">
        <f>COUNTIFS(Tracker!$B$2:$B$106,A23,Tracker!$E$2:$E$106,"Critical")</f>
        <v/>
      </c>
      <c r="D23" s="23">
        <f>COUNTIFS(Tracker!$B$2:$B$106,A23,Tracker!$E$2:$E$106,"High")</f>
        <v/>
      </c>
      <c r="E23" s="23">
        <f>COUNTIFS(Tracker!$B$2:$B$106,A23,Tracker!$E$2:$E$106,"Medium")</f>
        <v/>
      </c>
      <c r="F23" s="23">
        <f>COUNTIFS(Tracker!$B$2:$B$106,A23,Tracker!$F$2:$F$106,"Done")+COUNTIFS(Tracker!$B$2:$B$106,A23,Tracker!$F$2:$F$106,"QA Complete")</f>
        <v/>
      </c>
      <c r="G23" s="23">
        <f>B23-F23</f>
        <v/>
      </c>
    </row>
    <row r="24">
      <c r="A24" t="inlineStr">
        <is>
          <t>State &amp; Mutations</t>
        </is>
      </c>
      <c r="B24" s="23">
        <f>COUNTIF(Tracker!$B$2:$B$106,A24)</f>
        <v/>
      </c>
      <c r="C24" s="23">
        <f>COUNTIFS(Tracker!$B$2:$B$106,A24,Tracker!$E$2:$E$106,"Critical")</f>
        <v/>
      </c>
      <c r="D24" s="23">
        <f>COUNTIFS(Tracker!$B$2:$B$106,A24,Tracker!$E$2:$E$106,"High")</f>
        <v/>
      </c>
      <c r="E24" s="23">
        <f>COUNTIFS(Tracker!$B$2:$B$106,A24,Tracker!$E$2:$E$106,"Medium")</f>
        <v/>
      </c>
      <c r="F24" s="23">
        <f>COUNTIFS(Tracker!$B$2:$B$106,A24,Tracker!$F$2:$F$106,"Done")+COUNTIFS(Tracker!$B$2:$B$106,A24,Tracker!$F$2:$F$106,"QA Complete")</f>
        <v/>
      </c>
      <c r="G24" s="23">
        <f>B24-F24</f>
        <v/>
      </c>
    </row>
    <row r="25">
      <c r="A25" t="inlineStr">
        <is>
          <t>Structure Standardization</t>
        </is>
      </c>
      <c r="B25" s="23">
        <f>COUNTIF(Tracker!$B$2:$B$106,A25)</f>
        <v/>
      </c>
      <c r="C25" s="23">
        <f>COUNTIFS(Tracker!$B$2:$B$106,A25,Tracker!$E$2:$E$106,"Critical")</f>
        <v/>
      </c>
      <c r="D25" s="23">
        <f>COUNTIFS(Tracker!$B$2:$B$106,A25,Tracker!$E$2:$E$106,"High")</f>
        <v/>
      </c>
      <c r="E25" s="23">
        <f>COUNTIFS(Tracker!$B$2:$B$106,A25,Tracker!$E$2:$E$106,"Medium")</f>
        <v/>
      </c>
      <c r="F25" s="23">
        <f>COUNTIFS(Tracker!$B$2:$B$106,A25,Tracker!$F$2:$F$106,"Done")+COUNTIFS(Tracker!$B$2:$B$106,A25,Tracker!$F$2:$F$106,"QA Complete")</f>
        <v/>
      </c>
      <c r="G25" s="23">
        <f>B25-F25</f>
        <v/>
      </c>
    </row>
    <row r="26">
      <c r="A26" t="inlineStr">
        <is>
          <t>Testing</t>
        </is>
      </c>
      <c r="B26" s="23">
        <f>COUNTIF(Tracker!$B$2:$B$106,A26)</f>
        <v/>
      </c>
      <c r="C26" s="23">
        <f>COUNTIFS(Tracker!$B$2:$B$106,A26,Tracker!$E$2:$E$106,"Critical")</f>
        <v/>
      </c>
      <c r="D26" s="23">
        <f>COUNTIFS(Tracker!$B$2:$B$106,A26,Tracker!$E$2:$E$106,"High")</f>
        <v/>
      </c>
      <c r="E26" s="23">
        <f>COUNTIFS(Tracker!$B$2:$B$106,A26,Tracker!$E$2:$E$106,"Medium")</f>
        <v/>
      </c>
      <c r="F26" s="23">
        <f>COUNTIFS(Tracker!$B$2:$B$106,A26,Tracker!$F$2:$F$106,"Done")+COUNTIFS(Tracker!$B$2:$B$106,A26,Tracker!$F$2:$F$106,"QA Complete")</f>
        <v/>
      </c>
      <c r="G26" s="23">
        <f>B26-F26</f>
        <v/>
      </c>
    </row>
    <row r="27">
      <c r="A27" t="inlineStr">
        <is>
          <t>UX Trust</t>
        </is>
      </c>
      <c r="B27" s="23">
        <f>COUNTIF(Tracker!$B$2:$B$106,A27)</f>
        <v/>
      </c>
      <c r="C27" s="23">
        <f>COUNTIFS(Tracker!$B$2:$B$106,A27,Tracker!$E$2:$E$106,"Critical")</f>
        <v/>
      </c>
      <c r="D27" s="23">
        <f>COUNTIFS(Tracker!$B$2:$B$106,A27,Tracker!$E$2:$E$106,"High")</f>
        <v/>
      </c>
      <c r="E27" s="23">
        <f>COUNTIFS(Tracker!$B$2:$B$106,A27,Tracker!$E$2:$E$106,"Medium")</f>
        <v/>
      </c>
      <c r="F27" s="23">
        <f>COUNTIFS(Tracker!$B$2:$B$106,A27,Tracker!$F$2:$F$106,"Done")+COUNTIFS(Tracker!$B$2:$B$106,A27,Tracker!$F$2:$F$106,"QA Complete")</f>
        <v/>
      </c>
      <c r="G27" s="23">
        <f>B27-F27</f>
        <v/>
      </c>
    </row>
    <row r="28">
      <c r="A28" t="inlineStr">
        <is>
          <t>Workflow Continuity</t>
        </is>
      </c>
      <c r="B28" s="23">
        <f>COUNTIF(Tracker!$B$2:$B$106,A28)</f>
        <v/>
      </c>
      <c r="C28" s="23">
        <f>COUNTIFS(Tracker!$B$2:$B$106,A28,Tracker!$E$2:$E$106,"Critical")</f>
        <v/>
      </c>
      <c r="D28" s="23">
        <f>COUNTIFS(Tracker!$B$2:$B$106,A28,Tracker!$E$2:$E$106,"High")</f>
        <v/>
      </c>
      <c r="E28" s="23">
        <f>COUNTIFS(Tracker!$B$2:$B$106,A28,Tracker!$E$2:$E$106,"Medium")</f>
        <v/>
      </c>
      <c r="F28" s="23">
        <f>COUNTIFS(Tracker!$B$2:$B$106,A28,Tracker!$F$2:$F$106,"Done")+COUNTIFS(Tracker!$B$2:$B$106,A28,Tracker!$F$2:$F$106,"QA Complete")</f>
        <v/>
      </c>
      <c r="G28" s="23">
        <f>B28-F28</f>
        <v/>
      </c>
    </row>
  </sheetData>
  <mergeCells count="17">
    <mergeCell ref="A4:B4"/>
    <mergeCell ref="G4:H4"/>
    <mergeCell ref="E4:F4"/>
    <mergeCell ref="C8:D8"/>
    <mergeCell ref="G9:H10"/>
    <mergeCell ref="C5:D6"/>
    <mergeCell ref="A5:B6"/>
    <mergeCell ref="G5:H6"/>
    <mergeCell ref="E5:F6"/>
    <mergeCell ref="A1:H1"/>
    <mergeCell ref="G8:H8"/>
    <mergeCell ref="A8:B8"/>
    <mergeCell ref="C9:D10"/>
    <mergeCell ref="A9:B10"/>
    <mergeCell ref="E8:F8"/>
    <mergeCell ref="E9:F10"/>
    <mergeCell ref="C4:D4"/>
  </mergeCells>
  <conditionalFormatting sqref="C13:C28">
    <cfRule type="colorScale" priority="4">
      <colorScale>
        <cfvo type="min"/>
        <cfvo type="num" val="3"/>
        <cfvo type="max"/>
        <color rgb="FFFFFFFF"/>
        <color rgb="FFF4B183"/>
        <color rgb="FFC00000"/>
      </colorScale>
    </cfRule>
  </conditionalFormatting>
  <conditionalFormatting sqref="F13:F28">
    <cfRule type="dataBar" priority="2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</cfRule>
  </conditionalFormatting>
  <conditionalFormatting sqref="G13:G28">
    <cfRule type="dataBar" priority="3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</cfRule>
  </conditionalFormatting>
  <conditionalFormatting sqref="H2">
    <cfRule type="cellIs" priority="1" operator="greaterThan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8" customWidth="1" min="3" max="3"/>
    <col width="24" customWidth="1" min="4" max="4"/>
    <col width="12" customWidth="1" min="5" max="5"/>
    <col width="16" customWidth="1" min="6" max="6"/>
    <col width="15" customWidth="1" min="7" max="8"/>
    <col width="14" customWidth="1" min="9" max="9"/>
  </cols>
  <sheetData>
    <row r="1" ht="30" customHeight="1">
      <c r="A1" s="24" t="inlineStr">
        <is>
          <t>Outline Level</t>
        </is>
      </c>
      <c r="B1" s="24" t="inlineStr">
        <is>
          <t>Summary</t>
        </is>
      </c>
      <c r="C1" s="24" t="inlineStr">
        <is>
          <t>Task Name</t>
        </is>
      </c>
      <c r="D1" s="24" t="inlineStr">
        <is>
          <t>Owner</t>
        </is>
      </c>
      <c r="E1" s="24" t="inlineStr">
        <is>
          <t>Priority</t>
        </is>
      </c>
      <c r="F1" s="24" t="inlineStr">
        <is>
          <t>Status</t>
        </is>
      </c>
      <c r="G1" s="24" t="inlineStr">
        <is>
          <t>Start</t>
        </is>
      </c>
      <c r="H1" s="24" t="inlineStr">
        <is>
          <t>Finish</t>
        </is>
      </c>
      <c r="I1" s="24" t="inlineStr">
        <is>
          <t>Duration (days)</t>
        </is>
      </c>
    </row>
    <row r="2">
      <c r="A2" s="3" t="n">
        <v>1</v>
      </c>
      <c r="B2" s="3" t="inlineStr">
        <is>
          <t>Yes</t>
        </is>
      </c>
      <c r="C2" s="25" t="inlineStr">
        <is>
          <t>Immediate Stabilization</t>
        </is>
      </c>
      <c r="D2" s="3" t="inlineStr">
        <is>
          <t>18</t>
        </is>
      </c>
      <c r="E2" s="3" t="inlineStr">
        <is>
          <t>18</t>
        </is>
      </c>
      <c r="F2" s="3" t="inlineStr">
        <is>
          <t>18</t>
        </is>
      </c>
      <c r="G2" s="4" t="n">
        <v>46111</v>
      </c>
      <c r="H2" s="4" t="n">
        <v>46122</v>
      </c>
      <c r="I2" s="3" t="n">
        <v>12</v>
      </c>
    </row>
    <row r="3" ht="30" customHeight="1">
      <c r="A3" t="n">
        <v>2</v>
      </c>
      <c r="B3" t="inlineStr">
        <is>
          <t>No</t>
        </is>
      </c>
      <c r="C3" s="5" t="inlineStr">
        <is>
          <t>Identify every duplicated module under src/&lt;module&gt; and src/components/&lt;module&gt;</t>
        </is>
      </c>
      <c r="D3" t="inlineStr">
        <is>
          <t>Engineering</t>
        </is>
      </c>
      <c r="E3" t="inlineStr">
        <is>
          <t>Critical</t>
        </is>
      </c>
      <c r="F3" t="inlineStr">
        <is>
          <t>Done</t>
        </is>
      </c>
      <c r="G3" s="2" t="n">
        <v>46111</v>
      </c>
      <c r="H3" s="2" t="n">
        <v>46115</v>
      </c>
      <c r="I3" t="n">
        <v>5</v>
      </c>
    </row>
    <row r="4">
      <c r="A4" t="n">
        <v>2</v>
      </c>
      <c r="B4" t="inlineStr">
        <is>
          <t>No</t>
        </is>
      </c>
      <c r="C4" s="5" t="inlineStr">
        <is>
          <t>Choose one canonical location for each duplicated file</t>
        </is>
      </c>
      <c r="D4" t="inlineStr">
        <is>
          <t>Engineering</t>
        </is>
      </c>
      <c r="E4" t="inlineStr">
        <is>
          <t>Critical</t>
        </is>
      </c>
      <c r="F4" t="inlineStr">
        <is>
          <t>Done</t>
        </is>
      </c>
      <c r="G4" s="2" t="n">
        <v>46111</v>
      </c>
      <c r="H4" s="2" t="n">
        <v>46115</v>
      </c>
      <c r="I4" t="n">
        <v>5</v>
      </c>
    </row>
    <row r="5">
      <c r="A5" t="n">
        <v>2</v>
      </c>
      <c r="B5" t="inlineStr">
        <is>
          <t>No</t>
        </is>
      </c>
      <c r="C5" s="5" t="inlineStr">
        <is>
          <t>Replace duplicate copies with imports/re-exports temporarily</t>
        </is>
      </c>
      <c r="D5" t="inlineStr">
        <is>
          <t>Engineering</t>
        </is>
      </c>
      <c r="E5" t="inlineStr">
        <is>
          <t>Critical</t>
        </is>
      </c>
      <c r="F5" t="inlineStr">
        <is>
          <t>Done</t>
        </is>
      </c>
      <c r="G5" s="2" t="n">
        <v>46111</v>
      </c>
      <c r="H5" s="2" t="n">
        <v>46115</v>
      </c>
      <c r="I5" t="n">
        <v>5</v>
      </c>
    </row>
    <row r="6">
      <c r="A6" t="n">
        <v>2</v>
      </c>
      <c r="B6" t="inlineStr">
        <is>
          <t>No</t>
        </is>
      </c>
      <c r="C6" s="5" t="inlineStr">
        <is>
          <t>Delete stale duplicate implementations after verification</t>
        </is>
      </c>
      <c r="D6" t="inlineStr">
        <is>
          <t>Engineering</t>
        </is>
      </c>
      <c r="E6" t="inlineStr">
        <is>
          <t>High</t>
        </is>
      </c>
      <c r="F6" t="inlineStr">
        <is>
          <t>Done</t>
        </is>
      </c>
      <c r="G6" s="2" t="n">
        <v>46118</v>
      </c>
      <c r="H6" s="2" t="n">
        <v>46122</v>
      </c>
      <c r="I6" t="n">
        <v>5</v>
      </c>
    </row>
    <row r="7">
      <c r="A7" t="n">
        <v>2</v>
      </c>
      <c r="B7" t="inlineStr">
        <is>
          <t>No</t>
        </is>
      </c>
      <c r="C7" s="5" t="inlineStr">
        <is>
          <t>Document final folder ownership rules</t>
        </is>
      </c>
      <c r="D7" t="inlineStr">
        <is>
          <t>Engineering</t>
        </is>
      </c>
      <c r="E7" t="inlineStr">
        <is>
          <t>High</t>
        </is>
      </c>
      <c r="F7" t="inlineStr">
        <is>
          <t>Done</t>
        </is>
      </c>
      <c r="G7" s="2" t="n">
        <v>46118</v>
      </c>
      <c r="H7" s="2" t="n">
        <v>46122</v>
      </c>
      <c r="I7" t="n">
        <v>5</v>
      </c>
    </row>
    <row r="8">
      <c r="A8" s="3" t="n">
        <v>1</v>
      </c>
      <c r="B8" s="3" t="inlineStr">
        <is>
          <t>Yes</t>
        </is>
      </c>
      <c r="C8" s="25" t="inlineStr">
        <is>
          <t>Broken Workflow Fixes</t>
        </is>
      </c>
      <c r="D8" s="3" t="inlineStr">
        <is>
          <t>18</t>
        </is>
      </c>
      <c r="E8" s="3" t="inlineStr">
        <is>
          <t>18</t>
        </is>
      </c>
      <c r="F8" s="3" t="inlineStr">
        <is>
          <t>18</t>
        </is>
      </c>
      <c r="G8" s="4" t="n">
        <v>46111</v>
      </c>
      <c r="H8" s="4" t="n">
        <v>46115</v>
      </c>
      <c r="I8" s="3" t="n">
        <v>5</v>
      </c>
    </row>
    <row r="9">
      <c r="A9" t="n">
        <v>2</v>
      </c>
      <c r="B9" t="inlineStr">
        <is>
          <t>No</t>
        </is>
      </c>
      <c r="C9" s="5" t="inlineStr">
        <is>
          <t>Confirm task creation no longer causes disappearing records</t>
        </is>
      </c>
      <c r="D9" t="inlineStr">
        <is>
          <t>Engineering / QA</t>
        </is>
      </c>
      <c r="E9" t="inlineStr">
        <is>
          <t>Critical</t>
        </is>
      </c>
      <c r="F9" t="inlineStr">
        <is>
          <t>Done</t>
        </is>
      </c>
      <c r="G9" s="2" t="n">
        <v>46111</v>
      </c>
      <c r="H9" s="2" t="n">
        <v>46115</v>
      </c>
      <c r="I9" t="n">
        <v>5</v>
      </c>
    </row>
    <row r="10">
      <c r="A10" t="n">
        <v>2</v>
      </c>
      <c r="B10" t="inlineStr">
        <is>
          <t>No</t>
        </is>
      </c>
      <c r="C10" s="5" t="inlineStr">
        <is>
          <t>Fix cost codes save behavior</t>
        </is>
      </c>
      <c r="D10" t="inlineStr">
        <is>
          <t>Engineering</t>
        </is>
      </c>
      <c r="E10" t="inlineStr">
        <is>
          <t>Critical</t>
        </is>
      </c>
      <c r="F10" t="inlineStr">
        <is>
          <t>Done</t>
        </is>
      </c>
      <c r="G10" s="2" t="n">
        <v>46111</v>
      </c>
      <c r="H10" s="2" t="n">
        <v>46115</v>
      </c>
      <c r="I10" t="n">
        <v>5</v>
      </c>
    </row>
    <row r="11">
      <c r="A11" t="n">
        <v>2</v>
      </c>
      <c r="B11" t="inlineStr">
        <is>
          <t>No</t>
        </is>
      </c>
      <c r="C11" s="5" t="inlineStr">
        <is>
          <t>Fix contracts save behavior</t>
        </is>
      </c>
      <c r="D11" t="inlineStr">
        <is>
          <t>Engineering</t>
        </is>
      </c>
      <c r="E11" t="inlineStr">
        <is>
          <t>Critical</t>
        </is>
      </c>
      <c r="F11" t="inlineStr">
        <is>
          <t>Done</t>
        </is>
      </c>
      <c r="G11" s="2" t="n">
        <v>46111</v>
      </c>
      <c r="H11" s="2" t="n">
        <v>46115</v>
      </c>
      <c r="I11" t="n">
        <v>5</v>
      </c>
    </row>
    <row r="12">
      <c r="A12" t="n">
        <v>2</v>
      </c>
      <c r="B12" t="inlineStr">
        <is>
          <t>No</t>
        </is>
      </c>
      <c r="C12" s="5" t="inlineStr">
        <is>
          <t>Fix change order edit behavior</t>
        </is>
      </c>
      <c r="D12" t="inlineStr">
        <is>
          <t>Engineering</t>
        </is>
      </c>
      <c r="E12" t="inlineStr">
        <is>
          <t>Critical</t>
        </is>
      </c>
      <c r="F12" t="inlineStr">
        <is>
          <t>Done</t>
        </is>
      </c>
      <c r="G12" s="2" t="n">
        <v>46111</v>
      </c>
      <c r="H12" s="2" t="n">
        <v>46115</v>
      </c>
      <c r="I12" t="n">
        <v>5</v>
      </c>
    </row>
    <row r="13">
      <c r="A13" t="n">
        <v>2</v>
      </c>
      <c r="B13" t="inlineStr">
        <is>
          <t>No</t>
        </is>
      </c>
      <c r="C13" s="5" t="inlineStr">
        <is>
          <t>Fix change order delete behavior</t>
        </is>
      </c>
      <c r="D13" t="inlineStr">
        <is>
          <t>Engineering</t>
        </is>
      </c>
      <c r="E13" t="inlineStr">
        <is>
          <t>Critical</t>
        </is>
      </c>
      <c r="F13" t="inlineStr">
        <is>
          <t>Done</t>
        </is>
      </c>
      <c r="G13" s="2" t="n">
        <v>46111</v>
      </c>
      <c r="H13" s="2" t="n">
        <v>46115</v>
      </c>
      <c r="I13" t="n">
        <v>5</v>
      </c>
    </row>
    <row r="14">
      <c r="A14" t="n">
        <v>2</v>
      </c>
      <c r="B14" t="inlineStr">
        <is>
          <t>No</t>
        </is>
      </c>
      <c r="C14" s="5" t="inlineStr">
        <is>
          <t>Fix checklist item behavior</t>
        </is>
      </c>
      <c r="D14" t="inlineStr">
        <is>
          <t>Engineering</t>
        </is>
      </c>
      <c r="E14" t="inlineStr">
        <is>
          <t>Critical</t>
        </is>
      </c>
      <c r="F14" t="inlineStr">
        <is>
          <t>Done</t>
        </is>
      </c>
      <c r="G14" s="2" t="n">
        <v>46111</v>
      </c>
      <c r="H14" s="2" t="n">
        <v>46115</v>
      </c>
      <c r="I14" t="n">
        <v>5</v>
      </c>
    </row>
    <row r="15">
      <c r="A15" t="n">
        <v>2</v>
      </c>
      <c r="B15" t="inlineStr">
        <is>
          <t>No</t>
        </is>
      </c>
      <c r="C15" s="5" t="inlineStr">
        <is>
          <t>Fix PMA nonfunctional paths</t>
        </is>
      </c>
      <c r="D15" t="inlineStr">
        <is>
          <t>Engineering</t>
        </is>
      </c>
      <c r="E15" t="inlineStr">
        <is>
          <t>Critical</t>
        </is>
      </c>
      <c r="F15" t="inlineStr">
        <is>
          <t>Done</t>
        </is>
      </c>
      <c r="G15" s="2" t="n">
        <v>46111</v>
      </c>
      <c r="H15" s="2" t="n">
        <v>46115</v>
      </c>
      <c r="I15" t="n">
        <v>5</v>
      </c>
    </row>
    <row r="16">
      <c r="A16" t="n">
        <v>2</v>
      </c>
      <c r="B16" t="inlineStr">
        <is>
          <t>No</t>
        </is>
      </c>
      <c r="C16" s="5" t="inlineStr">
        <is>
          <t>Audit drawing workflow pain points and list exact failures</t>
        </is>
      </c>
      <c r="D16" t="inlineStr">
        <is>
          <t>Engineering / PM</t>
        </is>
      </c>
      <c r="E16" t="inlineStr">
        <is>
          <t>High</t>
        </is>
      </c>
      <c r="F16" t="inlineStr">
        <is>
          <t>Done</t>
        </is>
      </c>
      <c r="G16" s="2" t="n">
        <v>46111</v>
      </c>
      <c r="H16" s="2" t="n">
        <v>46115</v>
      </c>
      <c r="I16" t="n">
        <v>5</v>
      </c>
    </row>
    <row r="17">
      <c r="A17" t="n">
        <v>2</v>
      </c>
      <c r="B17" t="inlineStr">
        <is>
          <t>No</t>
        </is>
      </c>
      <c r="C17" s="5" t="inlineStr">
        <is>
          <t>Verify SteelBuild-Pro sync reliability</t>
        </is>
      </c>
      <c r="D17" t="inlineStr">
        <is>
          <t>Engineering</t>
        </is>
      </c>
      <c r="E17" t="inlineStr">
        <is>
          <t>Critical</t>
        </is>
      </c>
      <c r="F17" t="inlineStr">
        <is>
          <t>Done</t>
        </is>
      </c>
      <c r="G17" s="2" t="n">
        <v>46111</v>
      </c>
      <c r="H17" s="2" t="n">
        <v>46115</v>
      </c>
      <c r="I17" t="n">
        <v>5</v>
      </c>
    </row>
    <row r="18">
      <c r="A18" t="n">
        <v>2</v>
      </c>
      <c r="B18" t="inlineStr">
        <is>
          <t>No</t>
        </is>
      </c>
      <c r="C18" s="5" t="inlineStr">
        <is>
          <t>Retest all corrected flows end to end</t>
        </is>
      </c>
      <c r="D18" t="inlineStr">
        <is>
          <t>QA</t>
        </is>
      </c>
      <c r="E18" t="inlineStr">
        <is>
          <t>Critical</t>
        </is>
      </c>
      <c r="F18" t="inlineStr">
        <is>
          <t>Done</t>
        </is>
      </c>
      <c r="G18" s="2" t="n">
        <v>46111</v>
      </c>
      <c r="H18" s="2" t="n">
        <v>46115</v>
      </c>
      <c r="I18" t="n">
        <v>5</v>
      </c>
    </row>
    <row r="19">
      <c r="A19" s="3" t="n">
        <v>1</v>
      </c>
      <c r="B19" s="3" t="inlineStr">
        <is>
          <t>Yes</t>
        </is>
      </c>
      <c r="C19" s="25" t="inlineStr">
        <is>
          <t>Runtime Stability</t>
        </is>
      </c>
      <c r="D19" s="3" t="inlineStr">
        <is>
          <t>18</t>
        </is>
      </c>
      <c r="E19" s="3" t="inlineStr">
        <is>
          <t>18</t>
        </is>
      </c>
      <c r="F19" s="3" t="inlineStr">
        <is>
          <t>18</t>
        </is>
      </c>
      <c r="G19" s="4" t="n">
        <v>46111</v>
      </c>
      <c r="H19" s="4" t="n">
        <v>46122</v>
      </c>
      <c r="I19" s="3" t="n">
        <v>12</v>
      </c>
    </row>
    <row r="20">
      <c r="A20" t="n">
        <v>2</v>
      </c>
      <c r="B20" t="inlineStr">
        <is>
          <t>No</t>
        </is>
      </c>
      <c r="C20" s="5" t="inlineStr">
        <is>
          <t>Find and fix remaining React hook-order violations</t>
        </is>
      </c>
      <c r="D20" t="inlineStr">
        <is>
          <t>Engineering</t>
        </is>
      </c>
      <c r="E20" t="inlineStr">
        <is>
          <t>Critical</t>
        </is>
      </c>
      <c r="F20" t="inlineStr">
        <is>
          <t>Done</t>
        </is>
      </c>
      <c r="G20" s="2" t="n">
        <v>46111</v>
      </c>
      <c r="H20" s="2" t="n">
        <v>46115</v>
      </c>
      <c r="I20" t="n">
        <v>5</v>
      </c>
    </row>
    <row r="21">
      <c r="A21" t="n">
        <v>2</v>
      </c>
      <c r="B21" t="inlineStr">
        <is>
          <t>No</t>
        </is>
      </c>
      <c r="C21" s="5" t="inlineStr">
        <is>
          <t>Review console errors and warnings across major pages</t>
        </is>
      </c>
      <c r="D21" t="inlineStr">
        <is>
          <t>Engineering / QA</t>
        </is>
      </c>
      <c r="E21" t="inlineStr">
        <is>
          <t>High</t>
        </is>
      </c>
      <c r="F21" t="inlineStr">
        <is>
          <t>Done</t>
        </is>
      </c>
      <c r="G21" s="2" t="n">
        <v>46111</v>
      </c>
      <c r="H21" s="2" t="n">
        <v>46115</v>
      </c>
      <c r="I21" t="n">
        <v>5</v>
      </c>
    </row>
    <row r="22">
      <c r="A22" t="n">
        <v>2</v>
      </c>
      <c r="B22" t="inlineStr">
        <is>
          <t>No</t>
        </is>
      </c>
      <c r="C22" s="5" t="inlineStr">
        <is>
          <t>Add loading, empty, and error states to critical modules</t>
        </is>
      </c>
      <c r="D22" t="inlineStr">
        <is>
          <t>Engineering</t>
        </is>
      </c>
      <c r="E22" t="inlineStr">
        <is>
          <t>High</t>
        </is>
      </c>
      <c r="F22" t="inlineStr">
        <is>
          <t>In Progress</t>
        </is>
      </c>
      <c r="G22" s="2" t="n">
        <v>46118</v>
      </c>
      <c r="H22" s="2" t="n">
        <v>46122</v>
      </c>
      <c r="I22" t="n">
        <v>5</v>
      </c>
    </row>
    <row r="23">
      <c r="A23" t="n">
        <v>2</v>
      </c>
      <c r="B23" t="inlineStr">
        <is>
          <t>No</t>
        </is>
      </c>
      <c r="C23" s="5" t="inlineStr">
        <is>
          <t>Add fallback handling for null project / null entity states</t>
        </is>
      </c>
      <c r="D23" t="inlineStr">
        <is>
          <t>Engineering</t>
        </is>
      </c>
      <c r="E23" t="inlineStr">
        <is>
          <t>High</t>
        </is>
      </c>
      <c r="F23" t="inlineStr">
        <is>
          <t>Done</t>
        </is>
      </c>
      <c r="G23" s="2" t="n">
        <v>46118</v>
      </c>
      <c r="H23" s="2" t="n">
        <v>46122</v>
      </c>
      <c r="I23" t="n">
        <v>5</v>
      </c>
    </row>
    <row r="24">
      <c r="A24" t="n">
        <v>2</v>
      </c>
      <c r="B24" t="inlineStr">
        <is>
          <t>No</t>
        </is>
      </c>
      <c r="C24" s="5" t="inlineStr">
        <is>
          <t>Verify modals and drawers do not break on missing data</t>
        </is>
      </c>
      <c r="D24" t="inlineStr">
        <is>
          <t>QA</t>
        </is>
      </c>
      <c r="E24" t="inlineStr">
        <is>
          <t>High</t>
        </is>
      </c>
      <c r="F24" t="inlineStr">
        <is>
          <t>In Progress</t>
        </is>
      </c>
      <c r="G24" s="2" t="n">
        <v>46118</v>
      </c>
      <c r="H24" s="2" t="n">
        <v>46122</v>
      </c>
      <c r="I24" t="n">
        <v>5</v>
      </c>
    </row>
    <row r="25">
      <c r="A25" s="3" t="n">
        <v>1</v>
      </c>
      <c r="B25" s="3" t="inlineStr">
        <is>
          <t>Yes</t>
        </is>
      </c>
      <c r="C25" s="25" t="inlineStr">
        <is>
          <t>Codebase Cleanup</t>
        </is>
      </c>
      <c r="D25" s="3" t="inlineStr">
        <is>
          <t>18</t>
        </is>
      </c>
      <c r="E25" s="3" t="inlineStr">
        <is>
          <t>18</t>
        </is>
      </c>
      <c r="F25" s="3" t="inlineStr">
        <is>
          <t>18</t>
        </is>
      </c>
      <c r="G25" s="4" t="n">
        <v>46118</v>
      </c>
      <c r="H25" s="4" t="n">
        <v>46129</v>
      </c>
      <c r="I25" s="3" t="n">
        <v>12</v>
      </c>
    </row>
    <row r="26">
      <c r="A26" t="n">
        <v>2</v>
      </c>
      <c r="B26" t="inlineStr">
        <is>
          <t>No</t>
        </is>
      </c>
      <c r="C26" s="5" t="inlineStr">
        <is>
          <t>Refactor src/pages/Submittals.jsx</t>
        </is>
      </c>
      <c r="D26" t="inlineStr">
        <is>
          <t>Engineering</t>
        </is>
      </c>
      <c r="E26" t="inlineStr">
        <is>
          <t>Critical</t>
        </is>
      </c>
      <c r="F26" t="inlineStr">
        <is>
          <t>In Progress</t>
        </is>
      </c>
      <c r="G26" s="2" t="n">
        <v>46118</v>
      </c>
      <c r="H26" s="2" t="n">
        <v>46122</v>
      </c>
      <c r="I26" t="n">
        <v>5</v>
      </c>
    </row>
    <row r="27">
      <c r="A27" t="n">
        <v>2</v>
      </c>
      <c r="B27" t="inlineStr">
        <is>
          <t>No</t>
        </is>
      </c>
      <c r="C27" s="5" t="inlineStr">
        <is>
          <t>Refactor src/pages/Constraints.jsx</t>
        </is>
      </c>
      <c r="D27" t="inlineStr">
        <is>
          <t>Engineering</t>
        </is>
      </c>
      <c r="E27" t="inlineStr">
        <is>
          <t>High</t>
        </is>
      </c>
      <c r="F27" t="inlineStr">
        <is>
          <t>In Progress</t>
        </is>
      </c>
      <c r="G27" s="2" t="n">
        <v>46125</v>
      </c>
      <c r="H27" s="2" t="n">
        <v>46129</v>
      </c>
      <c r="I27" t="n">
        <v>5</v>
      </c>
    </row>
    <row r="28">
      <c r="A28" t="n">
        <v>2</v>
      </c>
      <c r="B28" t="inlineStr">
        <is>
          <t>No</t>
        </is>
      </c>
      <c r="C28" s="5" t="inlineStr">
        <is>
          <t>Refactor src/pages/RFIs.jsx</t>
        </is>
      </c>
      <c r="D28" t="inlineStr">
        <is>
          <t>Engineering</t>
        </is>
      </c>
      <c r="E28" t="inlineStr">
        <is>
          <t>Critical</t>
        </is>
      </c>
      <c r="F28" t="inlineStr">
        <is>
          <t>In Progress</t>
        </is>
      </c>
      <c r="G28" s="2" t="n">
        <v>46118</v>
      </c>
      <c r="H28" s="2" t="n">
        <v>46122</v>
      </c>
      <c r="I28" t="n">
        <v>5</v>
      </c>
    </row>
    <row r="29">
      <c r="A29" t="n">
        <v>2</v>
      </c>
      <c r="B29" t="inlineStr">
        <is>
          <t>No</t>
        </is>
      </c>
      <c r="C29" s="5" t="inlineStr">
        <is>
          <t>Refactor src/pages/ResourceScheduling.jsx</t>
        </is>
      </c>
      <c r="D29" t="inlineStr">
        <is>
          <t>Engineering</t>
        </is>
      </c>
      <c r="E29" t="inlineStr">
        <is>
          <t>High</t>
        </is>
      </c>
      <c r="F29" t="inlineStr">
        <is>
          <t>Done</t>
        </is>
      </c>
      <c r="G29" s="2" t="n">
        <v>46125</v>
      </c>
      <c r="H29" s="2" t="n">
        <v>46129</v>
      </c>
      <c r="I29" t="n">
        <v>5</v>
      </c>
    </row>
    <row r="30">
      <c r="A30" t="n">
        <v>2</v>
      </c>
      <c r="B30" t="inlineStr">
        <is>
          <t>No</t>
        </is>
      </c>
      <c r="C30" s="5" t="inlineStr">
        <is>
          <t>Refactor src/Layout.jsx</t>
        </is>
      </c>
      <c r="D30" t="inlineStr">
        <is>
          <t>Engineering</t>
        </is>
      </c>
      <c r="E30" t="inlineStr">
        <is>
          <t>High</t>
        </is>
      </c>
      <c r="F30" t="inlineStr">
        <is>
          <t>In Progress</t>
        </is>
      </c>
      <c r="G30" s="2" t="n">
        <v>46125</v>
      </c>
      <c r="H30" s="2" t="n">
        <v>46129</v>
      </c>
      <c r="I30" t="n">
        <v>5</v>
      </c>
    </row>
    <row r="31">
      <c r="A31" t="n">
        <v>2</v>
      </c>
      <c r="B31" t="inlineStr">
        <is>
          <t>No</t>
        </is>
      </c>
      <c r="C31" s="5" t="inlineStr">
        <is>
          <t>Refactor src/pages/Deliveries.jsx</t>
        </is>
      </c>
      <c r="D31" t="inlineStr">
        <is>
          <t>Engineering</t>
        </is>
      </c>
      <c r="E31" t="inlineStr">
        <is>
          <t>High</t>
        </is>
      </c>
      <c r="F31" t="inlineStr">
        <is>
          <t>In Progress</t>
        </is>
      </c>
      <c r="G31" s="2" t="n">
        <v>46125</v>
      </c>
      <c r="H31" s="2" t="n">
        <v>46129</v>
      </c>
      <c r="I31" t="n">
        <v>5</v>
      </c>
    </row>
    <row r="32">
      <c r="A32" t="n">
        <v>2</v>
      </c>
      <c r="B32" t="inlineStr">
        <is>
          <t>No</t>
        </is>
      </c>
      <c r="C32" s="5" t="inlineStr">
        <is>
          <t>Refactor src/pages/Drawings.jsx</t>
        </is>
      </c>
      <c r="D32" t="inlineStr">
        <is>
          <t>Engineering</t>
        </is>
      </c>
      <c r="E32" t="inlineStr">
        <is>
          <t>Critical</t>
        </is>
      </c>
      <c r="F32" t="inlineStr">
        <is>
          <t>In Progress</t>
        </is>
      </c>
      <c r="G32" s="2" t="n">
        <v>46118</v>
      </c>
      <c r="H32" s="2" t="n">
        <v>46122</v>
      </c>
      <c r="I32" t="n">
        <v>5</v>
      </c>
    </row>
    <row r="33">
      <c r="A33" s="3" t="n">
        <v>1</v>
      </c>
      <c r="B33" s="3" t="inlineStr">
        <is>
          <t>Yes</t>
        </is>
      </c>
      <c r="C33" s="25" t="inlineStr">
        <is>
          <t>Repo Hygiene</t>
        </is>
      </c>
      <c r="D33" s="3" t="inlineStr">
        <is>
          <t>18</t>
        </is>
      </c>
      <c r="E33" s="3" t="inlineStr">
        <is>
          <t>18</t>
        </is>
      </c>
      <c r="F33" s="3" t="inlineStr">
        <is>
          <t>18</t>
        </is>
      </c>
      <c r="G33" s="4" t="n">
        <v>46118</v>
      </c>
      <c r="H33" s="4" t="n">
        <v>46122</v>
      </c>
      <c r="I33" s="3" t="n">
        <v>5</v>
      </c>
    </row>
    <row r="34">
      <c r="A34" t="n">
        <v>2</v>
      </c>
      <c r="B34" t="inlineStr">
        <is>
          <t>No</t>
        </is>
      </c>
      <c r="C34" s="5" t="inlineStr">
        <is>
          <t>Remove stale root-level duplicate folders</t>
        </is>
      </c>
      <c r="D34" t="inlineStr">
        <is>
          <t>Engineering</t>
        </is>
      </c>
      <c r="E34" t="inlineStr">
        <is>
          <t>High</t>
        </is>
      </c>
      <c r="F34" t="inlineStr">
        <is>
          <t>Done</t>
        </is>
      </c>
      <c r="G34" s="2" t="n">
        <v>46118</v>
      </c>
      <c r="H34" s="2" t="n">
        <v>46122</v>
      </c>
      <c r="I34" t="n">
        <v>5</v>
      </c>
    </row>
    <row r="35">
      <c r="A35" t="n">
        <v>2</v>
      </c>
      <c r="B35" t="inlineStr">
        <is>
          <t>No</t>
        </is>
      </c>
      <c r="C35" s="5" t="inlineStr">
        <is>
          <t>Remove old zip/tgz artifacts from repo workflow</t>
        </is>
      </c>
      <c r="D35" t="inlineStr">
        <is>
          <t>Engineering</t>
        </is>
      </c>
      <c r="E35" t="inlineStr">
        <is>
          <t>Medium</t>
        </is>
      </c>
      <c r="F35" t="inlineStr">
        <is>
          <t>Done</t>
        </is>
      </c>
      <c r="G35" s="2" t="n">
        <v>46118</v>
      </c>
      <c r="H35" s="2" t="n">
        <v>46122</v>
      </c>
      <c r="I35" t="n">
        <v>5</v>
      </c>
    </row>
    <row r="36">
      <c r="A36" t="n">
        <v>2</v>
      </c>
      <c r="B36" t="inlineStr">
        <is>
          <t>No</t>
        </is>
      </c>
      <c r="C36" s="5" t="inlineStr">
        <is>
          <t>Remove logs from tracked workspace</t>
        </is>
      </c>
      <c r="D36" t="inlineStr">
        <is>
          <t>Engineering</t>
        </is>
      </c>
      <c r="E36" t="inlineStr">
        <is>
          <t>Medium</t>
        </is>
      </c>
      <c r="F36" t="inlineStr">
        <is>
          <t>Done</t>
        </is>
      </c>
      <c r="G36" s="2" t="n">
        <v>46118</v>
      </c>
      <c r="H36" s="2" t="n">
        <v>46122</v>
      </c>
      <c r="I36" t="n">
        <v>5</v>
      </c>
    </row>
    <row r="37">
      <c r="A37" t="n">
        <v>2</v>
      </c>
      <c r="B37" t="inlineStr">
        <is>
          <t>No</t>
        </is>
      </c>
      <c r="C37" s="5" t="inlineStr">
        <is>
          <t>Remove or isolate dist from source repo workflow</t>
        </is>
      </c>
      <c r="D37" t="inlineStr">
        <is>
          <t>Engineering</t>
        </is>
      </c>
      <c r="E37" t="inlineStr">
        <is>
          <t>Medium</t>
        </is>
      </c>
      <c r="F37" t="inlineStr">
        <is>
          <t>Done</t>
        </is>
      </c>
      <c r="G37" s="2" t="n">
        <v>46118</v>
      </c>
      <c r="H37" s="2" t="n">
        <v>46122</v>
      </c>
      <c r="I37" t="n">
        <v>5</v>
      </c>
    </row>
    <row r="38">
      <c r="A38" t="n">
        <v>2</v>
      </c>
      <c r="B38" t="inlineStr">
        <is>
          <t>No</t>
        </is>
      </c>
      <c r="C38" s="5" t="inlineStr">
        <is>
          <t>Confirm .env.local is not exposed improperly</t>
        </is>
      </c>
      <c r="D38" t="inlineStr">
        <is>
          <t>Engineering</t>
        </is>
      </c>
      <c r="E38" t="inlineStr">
        <is>
          <t>Critical</t>
        </is>
      </c>
      <c r="F38" t="inlineStr">
        <is>
          <t>Done</t>
        </is>
      </c>
      <c r="G38" s="2" t="n">
        <v>46118</v>
      </c>
      <c r="H38" s="2" t="n">
        <v>46122</v>
      </c>
      <c r="I38" t="n">
        <v>5</v>
      </c>
    </row>
    <row r="39">
      <c r="A39" t="n">
        <v>2</v>
      </c>
      <c r="B39" t="inlineStr">
        <is>
          <t>No</t>
        </is>
      </c>
      <c r="C39" s="5" t="inlineStr">
        <is>
          <t>Update .gitignore if needed</t>
        </is>
      </c>
      <c r="D39" t="inlineStr">
        <is>
          <t>Engineering</t>
        </is>
      </c>
      <c r="E39" t="inlineStr">
        <is>
          <t>Medium</t>
        </is>
      </c>
      <c r="F39" t="inlineStr">
        <is>
          <t>Done</t>
        </is>
      </c>
      <c r="G39" s="2" t="n">
        <v>46118</v>
      </c>
      <c r="H39" s="2" t="n">
        <v>46122</v>
      </c>
      <c r="I39" t="n">
        <v>5</v>
      </c>
    </row>
    <row r="40">
      <c r="A40" t="n">
        <v>2</v>
      </c>
      <c r="B40" t="inlineStr">
        <is>
          <t>No</t>
        </is>
      </c>
      <c r="C40" s="5" t="inlineStr">
        <is>
          <t>Clean repo for multi-developer work</t>
        </is>
      </c>
      <c r="D40" t="inlineStr">
        <is>
          <t>Engineering</t>
        </is>
      </c>
      <c r="E40" t="inlineStr">
        <is>
          <t>High</t>
        </is>
      </c>
      <c r="F40" t="inlineStr">
        <is>
          <t>Done</t>
        </is>
      </c>
      <c r="G40" s="2" t="n">
        <v>46118</v>
      </c>
      <c r="H40" s="2" t="n">
        <v>46122</v>
      </c>
      <c r="I40" t="n">
        <v>5</v>
      </c>
    </row>
    <row r="41">
      <c r="A41" s="3" t="n">
        <v>1</v>
      </c>
      <c r="B41" s="3" t="inlineStr">
        <is>
          <t>Yes</t>
        </is>
      </c>
      <c r="C41" s="25" t="inlineStr">
        <is>
          <t>Structure Standardization</t>
        </is>
      </c>
      <c r="D41" s="3" t="inlineStr">
        <is>
          <t>18</t>
        </is>
      </c>
      <c r="E41" s="3" t="inlineStr">
        <is>
          <t>18</t>
        </is>
      </c>
      <c r="F41" s="3" t="inlineStr">
        <is>
          <t>18</t>
        </is>
      </c>
      <c r="G41" s="4" t="n">
        <v>46118</v>
      </c>
      <c r="H41" s="4" t="n">
        <v>46129</v>
      </c>
      <c r="I41" s="3" t="n">
        <v>12</v>
      </c>
    </row>
    <row r="42" ht="30" customHeight="1">
      <c r="A42" t="n">
        <v>2</v>
      </c>
      <c r="B42" t="inlineStr">
        <is>
          <t>No</t>
        </is>
      </c>
      <c r="C42" s="5" t="inlineStr">
        <is>
          <t>Define folder rules for pages/components/hooks/services/utils/entities</t>
        </is>
      </c>
      <c r="D42" t="inlineStr">
        <is>
          <t>Engineering Lead</t>
        </is>
      </c>
      <c r="E42" t="inlineStr">
        <is>
          <t>High</t>
        </is>
      </c>
      <c r="F42" t="inlineStr">
        <is>
          <t>Done</t>
        </is>
      </c>
      <c r="G42" s="2" t="n">
        <v>46118</v>
      </c>
      <c r="H42" s="2" t="n">
        <v>46122</v>
      </c>
      <c r="I42" t="n">
        <v>5</v>
      </c>
    </row>
    <row r="43">
      <c r="A43" t="n">
        <v>2</v>
      </c>
      <c r="B43" t="inlineStr">
        <is>
          <t>No</t>
        </is>
      </c>
      <c r="C43" s="5" t="inlineStr">
        <is>
          <t>Move shared UI to one shared location</t>
        </is>
      </c>
      <c r="D43" t="inlineStr">
        <is>
          <t>Engineering</t>
        </is>
      </c>
      <c r="E43" t="inlineStr">
        <is>
          <t>High</t>
        </is>
      </c>
      <c r="F43" t="inlineStr">
        <is>
          <t>In Progress</t>
        </is>
      </c>
      <c r="G43" s="2" t="n">
        <v>46125</v>
      </c>
      <c r="H43" s="2" t="n">
        <v>46129</v>
      </c>
      <c r="I43" t="n">
        <v>5</v>
      </c>
    </row>
    <row r="44">
      <c r="A44" t="n">
        <v>2</v>
      </c>
      <c r="B44" t="inlineStr">
        <is>
          <t>No</t>
        </is>
      </c>
      <c r="C44" s="5" t="inlineStr">
        <is>
          <t>Move workflow logic out of generic UI folders</t>
        </is>
      </c>
      <c r="D44" t="inlineStr">
        <is>
          <t>Engineering</t>
        </is>
      </c>
      <c r="E44" t="inlineStr">
        <is>
          <t>High</t>
        </is>
      </c>
      <c r="F44" t="inlineStr">
        <is>
          <t>In Progress</t>
        </is>
      </c>
      <c r="G44" s="2" t="n">
        <v>46125</v>
      </c>
      <c r="H44" s="2" t="n">
        <v>46129</v>
      </c>
      <c r="I44" t="n">
        <v>5</v>
      </c>
    </row>
    <row r="45">
      <c r="A45" t="n">
        <v>2</v>
      </c>
      <c r="B45" t="inlineStr">
        <is>
          <t>No</t>
        </is>
      </c>
      <c r="C45" s="5" t="inlineStr">
        <is>
          <t>Publish short architecture note for future edits</t>
        </is>
      </c>
      <c r="D45" t="inlineStr">
        <is>
          <t>Engineering Lead</t>
        </is>
      </c>
      <c r="E45" t="inlineStr">
        <is>
          <t>Medium</t>
        </is>
      </c>
      <c r="F45" t="inlineStr">
        <is>
          <t>Done</t>
        </is>
      </c>
      <c r="G45" s="2" t="n">
        <v>46125</v>
      </c>
      <c r="H45" s="2" t="n">
        <v>46129</v>
      </c>
      <c r="I45" t="n">
        <v>5</v>
      </c>
    </row>
    <row r="46">
      <c r="A46" s="3" t="n">
        <v>1</v>
      </c>
      <c r="B46" s="3" t="inlineStr">
        <is>
          <t>Yes</t>
        </is>
      </c>
      <c r="C46" s="25" t="inlineStr">
        <is>
          <t>Engineering Discipline</t>
        </is>
      </c>
      <c r="D46" s="3" t="inlineStr">
        <is>
          <t>18</t>
        </is>
      </c>
      <c r="E46" s="3" t="inlineStr">
        <is>
          <t>18</t>
        </is>
      </c>
      <c r="F46" s="3" t="inlineStr">
        <is>
          <t>18</t>
        </is>
      </c>
      <c r="G46" s="4" t="n">
        <v>46111</v>
      </c>
      <c r="H46" s="4" t="n">
        <v>46136</v>
      </c>
      <c r="I46" s="3" t="n">
        <v>26</v>
      </c>
    </row>
    <row r="47">
      <c r="A47" t="n">
        <v>2</v>
      </c>
      <c r="B47" t="inlineStr">
        <is>
          <t>No</t>
        </is>
      </c>
      <c r="C47" s="5" t="inlineStr">
        <is>
          <t>Confirm local lint script works consistently</t>
        </is>
      </c>
      <c r="D47" t="inlineStr">
        <is>
          <t>Engineering</t>
        </is>
      </c>
      <c r="E47" t="inlineStr">
        <is>
          <t>Critical</t>
        </is>
      </c>
      <c r="F47" t="inlineStr">
        <is>
          <t>Done</t>
        </is>
      </c>
      <c r="G47" s="2" t="n">
        <v>46111</v>
      </c>
      <c r="H47" s="2" t="n">
        <v>46115</v>
      </c>
      <c r="I47" t="n">
        <v>5</v>
      </c>
    </row>
    <row r="48">
      <c r="A48" t="n">
        <v>2</v>
      </c>
      <c r="B48" t="inlineStr">
        <is>
          <t>No</t>
        </is>
      </c>
      <c r="C48" s="5" t="inlineStr">
        <is>
          <t>Confirm local typecheck script works consistently</t>
        </is>
      </c>
      <c r="D48" t="inlineStr">
        <is>
          <t>Engineering</t>
        </is>
      </c>
      <c r="E48" t="inlineStr">
        <is>
          <t>Critical</t>
        </is>
      </c>
      <c r="F48" t="inlineStr">
        <is>
          <t>Done</t>
        </is>
      </c>
      <c r="G48" s="2" t="n">
        <v>46111</v>
      </c>
      <c r="H48" s="2" t="n">
        <v>46115</v>
      </c>
      <c r="I48" t="n">
        <v>5</v>
      </c>
    </row>
    <row r="49">
      <c r="A49" t="n">
        <v>2</v>
      </c>
      <c r="B49" t="inlineStr">
        <is>
          <t>No</t>
        </is>
      </c>
      <c r="C49" s="5" t="inlineStr">
        <is>
          <t>Fix highest-risk lint errors first</t>
        </is>
      </c>
      <c r="D49" t="inlineStr">
        <is>
          <t>Engineering</t>
        </is>
      </c>
      <c r="E49" t="inlineStr">
        <is>
          <t>High</t>
        </is>
      </c>
      <c r="F49" t="inlineStr">
        <is>
          <t>Done</t>
        </is>
      </c>
      <c r="G49" s="2" t="n">
        <v>46118</v>
      </c>
      <c r="H49" s="2" t="n">
        <v>46122</v>
      </c>
      <c r="I49" t="n">
        <v>5</v>
      </c>
    </row>
    <row r="50">
      <c r="A50" t="n">
        <v>2</v>
      </c>
      <c r="B50" t="inlineStr">
        <is>
          <t>No</t>
        </is>
      </c>
      <c r="C50" s="5" t="inlineStr">
        <is>
          <t>Fix unused imports and dead code</t>
        </is>
      </c>
      <c r="D50" t="inlineStr">
        <is>
          <t>Engineering</t>
        </is>
      </c>
      <c r="E50" t="inlineStr">
        <is>
          <t>Medium</t>
        </is>
      </c>
      <c r="F50" t="inlineStr">
        <is>
          <t>Done</t>
        </is>
      </c>
      <c r="G50" s="2" t="n">
        <v>46125</v>
      </c>
      <c r="H50" s="2" t="n">
        <v>46129</v>
      </c>
      <c r="I50" t="n">
        <v>5</v>
      </c>
    </row>
    <row r="51">
      <c r="A51" t="n">
        <v>2</v>
      </c>
      <c r="B51" t="inlineStr">
        <is>
          <t>No</t>
        </is>
      </c>
      <c r="C51" s="5" t="inlineStr">
        <is>
          <t>Fix prop/type/state issues in critical workflows first</t>
        </is>
      </c>
      <c r="D51" t="inlineStr">
        <is>
          <t>Engineering</t>
        </is>
      </c>
      <c r="E51" t="inlineStr">
        <is>
          <t>Critical</t>
        </is>
      </c>
      <c r="F51" t="inlineStr">
        <is>
          <t>Done</t>
        </is>
      </c>
      <c r="G51" s="2" t="n">
        <v>46118</v>
      </c>
      <c r="H51" s="2" t="n">
        <v>46122</v>
      </c>
      <c r="I51" t="n">
        <v>5</v>
      </c>
    </row>
    <row r="52" ht="30" customHeight="1">
      <c r="A52" t="n">
        <v>2</v>
      </c>
      <c r="B52" t="inlineStr">
        <is>
          <t>No</t>
        </is>
      </c>
      <c r="C52" s="5" t="inlineStr">
        <is>
          <t>Expand type coverage to src/lib, src/api, and src/components/ui</t>
        </is>
      </c>
      <c r="D52" t="inlineStr">
        <is>
          <t>Engineering</t>
        </is>
      </c>
      <c r="E52" t="inlineStr">
        <is>
          <t>High</t>
        </is>
      </c>
      <c r="F52" t="inlineStr">
        <is>
          <t>Done</t>
        </is>
      </c>
      <c r="G52" s="2" t="n">
        <v>46125</v>
      </c>
      <c r="H52" s="2" t="n">
        <v>46129</v>
      </c>
      <c r="I52" t="n">
        <v>5</v>
      </c>
    </row>
    <row r="53">
      <c r="A53" t="n">
        <v>2</v>
      </c>
      <c r="B53" t="inlineStr">
        <is>
          <t>No</t>
        </is>
      </c>
      <c r="C53" s="5" t="inlineStr">
        <is>
          <t>Stop excluding important folders from type validation</t>
        </is>
      </c>
      <c r="D53" t="inlineStr">
        <is>
          <t>Engineering</t>
        </is>
      </c>
      <c r="E53" t="inlineStr">
        <is>
          <t>High</t>
        </is>
      </c>
      <c r="F53" t="inlineStr">
        <is>
          <t>Done</t>
        </is>
      </c>
      <c r="G53" s="2" t="n">
        <v>46125</v>
      </c>
      <c r="H53" s="2" t="n">
        <v>46129</v>
      </c>
      <c r="I53" t="n">
        <v>5</v>
      </c>
    </row>
    <row r="54">
      <c r="A54" t="n">
        <v>2</v>
      </c>
      <c r="B54" t="inlineStr">
        <is>
          <t>No</t>
        </is>
      </c>
      <c r="C54" s="5" t="inlineStr">
        <is>
          <t>Add lint/typecheck to PR workflow or CI</t>
        </is>
      </c>
      <c r="D54" t="inlineStr">
        <is>
          <t>Engineering</t>
        </is>
      </c>
      <c r="E54" t="inlineStr">
        <is>
          <t>High</t>
        </is>
      </c>
      <c r="F54" t="inlineStr">
        <is>
          <t>Done</t>
        </is>
      </c>
      <c r="G54" s="2" t="n">
        <v>46132</v>
      </c>
      <c r="H54" s="2" t="n">
        <v>46136</v>
      </c>
      <c r="I54" t="n">
        <v>5</v>
      </c>
    </row>
    <row r="55">
      <c r="A55" s="3" t="n">
        <v>1</v>
      </c>
      <c r="B55" s="3" t="inlineStr">
        <is>
          <t>Yes</t>
        </is>
      </c>
      <c r="C55" s="25" t="inlineStr">
        <is>
          <t>State &amp; Mutations</t>
        </is>
      </c>
      <c r="D55" s="3" t="inlineStr">
        <is>
          <t>18</t>
        </is>
      </c>
      <c r="E55" s="3" t="inlineStr">
        <is>
          <t>18</t>
        </is>
      </c>
      <c r="F55" s="3" t="inlineStr">
        <is>
          <t>18</t>
        </is>
      </c>
      <c r="G55" s="4" t="n">
        <v>46125</v>
      </c>
      <c r="H55" s="4" t="n">
        <v>46136</v>
      </c>
      <c r="I55" s="3" t="n">
        <v>12</v>
      </c>
    </row>
    <row r="56">
      <c r="A56" t="n">
        <v>2</v>
      </c>
      <c r="B56" t="inlineStr">
        <is>
          <t>No</t>
        </is>
      </c>
      <c r="C56" s="5" t="inlineStr">
        <is>
          <t>Create one standard pattern for fetch + transform + save</t>
        </is>
      </c>
      <c r="D56" t="inlineStr">
        <is>
          <t>Engineering</t>
        </is>
      </c>
      <c r="E56" t="inlineStr">
        <is>
          <t>High</t>
        </is>
      </c>
      <c r="F56" t="inlineStr">
        <is>
          <t>Done</t>
        </is>
      </c>
      <c r="G56" s="2" t="n">
        <v>46125</v>
      </c>
      <c r="H56" s="2" t="n">
        <v>46129</v>
      </c>
      <c r="I56" t="n">
        <v>5</v>
      </c>
    </row>
    <row r="57">
      <c r="A57" t="n">
        <v>2</v>
      </c>
      <c r="B57" t="inlineStr">
        <is>
          <t>No</t>
        </is>
      </c>
      <c r="C57" s="5" t="inlineStr">
        <is>
          <t>Create one standard pattern for mutation success/error toasts</t>
        </is>
      </c>
      <c r="D57" t="inlineStr">
        <is>
          <t>Engineering</t>
        </is>
      </c>
      <c r="E57" t="inlineStr">
        <is>
          <t>Medium</t>
        </is>
      </c>
      <c r="F57" t="inlineStr">
        <is>
          <t>In Progress</t>
        </is>
      </c>
      <c r="G57" s="2" t="n">
        <v>46125</v>
      </c>
      <c r="H57" s="2" t="n">
        <v>46129</v>
      </c>
      <c r="I57" t="n">
        <v>5</v>
      </c>
    </row>
    <row r="58">
      <c r="A58" t="n">
        <v>2</v>
      </c>
      <c r="B58" t="inlineStr">
        <is>
          <t>No</t>
        </is>
      </c>
      <c r="C58" s="5" t="inlineStr">
        <is>
          <t>Create one standard pattern for reload/refetch after save</t>
        </is>
      </c>
      <c r="D58" t="inlineStr">
        <is>
          <t>Engineering</t>
        </is>
      </c>
      <c r="E58" t="inlineStr">
        <is>
          <t>High</t>
        </is>
      </c>
      <c r="F58" t="inlineStr">
        <is>
          <t>Done</t>
        </is>
      </c>
      <c r="G58" s="2" t="n">
        <v>46125</v>
      </c>
      <c r="H58" s="2" t="n">
        <v>46129</v>
      </c>
      <c r="I58" t="n">
        <v>5</v>
      </c>
    </row>
    <row r="59">
      <c r="A59" t="n">
        <v>2</v>
      </c>
      <c r="B59" t="inlineStr">
        <is>
          <t>No</t>
        </is>
      </c>
      <c r="C59" s="5" t="inlineStr">
        <is>
          <t>Eliminate page-local ad hoc mutation logic</t>
        </is>
      </c>
      <c r="D59" t="inlineStr">
        <is>
          <t>Engineering</t>
        </is>
      </c>
      <c r="E59" t="inlineStr">
        <is>
          <t>High</t>
        </is>
      </c>
      <c r="F59" t="inlineStr">
        <is>
          <t>In Progress</t>
        </is>
      </c>
      <c r="G59" s="2" t="n">
        <v>46132</v>
      </c>
      <c r="H59" s="2" t="n">
        <v>46136</v>
      </c>
      <c r="I59" t="n">
        <v>5</v>
      </c>
    </row>
    <row r="60">
      <c r="A60" t="n">
        <v>2</v>
      </c>
      <c r="B60" t="inlineStr">
        <is>
          <t>No</t>
        </is>
      </c>
      <c r="C60" s="5" t="inlineStr">
        <is>
          <t>Review optimistic update behavior for reliability</t>
        </is>
      </c>
      <c r="D60" t="inlineStr">
        <is>
          <t>Engineering</t>
        </is>
      </c>
      <c r="E60" t="inlineStr">
        <is>
          <t>High</t>
        </is>
      </c>
      <c r="F60" t="inlineStr">
        <is>
          <t>In Progress</t>
        </is>
      </c>
      <c r="G60" s="2" t="n">
        <v>46132</v>
      </c>
      <c r="H60" s="2" t="n">
        <v>46136</v>
      </c>
      <c r="I60" t="n">
        <v>5</v>
      </c>
    </row>
    <row r="61">
      <c r="A61" t="n">
        <v>2</v>
      </c>
      <c r="B61" t="inlineStr">
        <is>
          <t>No</t>
        </is>
      </c>
      <c r="C61" s="5" t="inlineStr">
        <is>
          <t>Ensure state cannot silently drift from backend truth</t>
        </is>
      </c>
      <c r="D61" t="inlineStr">
        <is>
          <t>Engineering</t>
        </is>
      </c>
      <c r="E61" t="inlineStr">
        <is>
          <t>Critical</t>
        </is>
      </c>
      <c r="F61" t="inlineStr">
        <is>
          <t>In Progress</t>
        </is>
      </c>
      <c r="G61" s="2" t="n">
        <v>46132</v>
      </c>
      <c r="H61" s="2" t="n">
        <v>46136</v>
      </c>
      <c r="I61" t="n">
        <v>5</v>
      </c>
    </row>
    <row r="62">
      <c r="A62" s="3" t="n">
        <v>1</v>
      </c>
      <c r="B62" s="3" t="inlineStr">
        <is>
          <t>Yes</t>
        </is>
      </c>
      <c r="C62" s="25" t="inlineStr">
        <is>
          <t>Logic Extraction</t>
        </is>
      </c>
      <c r="D62" s="3" t="inlineStr">
        <is>
          <t>18</t>
        </is>
      </c>
      <c r="E62" s="3" t="inlineStr">
        <is>
          <t>18</t>
        </is>
      </c>
      <c r="F62" s="3" t="inlineStr">
        <is>
          <t>18</t>
        </is>
      </c>
      <c r="G62" s="4" t="n">
        <v>46125</v>
      </c>
      <c r="H62" s="4" t="n">
        <v>46136</v>
      </c>
      <c r="I62" s="3" t="n">
        <v>12</v>
      </c>
    </row>
    <row r="63">
      <c r="A63" t="n">
        <v>2</v>
      </c>
      <c r="B63" t="inlineStr">
        <is>
          <t>No</t>
        </is>
      </c>
      <c r="C63" s="5" t="inlineStr">
        <is>
          <t>Extract KPI calculations into utilities/services</t>
        </is>
      </c>
      <c r="D63" t="inlineStr">
        <is>
          <t>Engineering</t>
        </is>
      </c>
      <c r="E63" t="inlineStr">
        <is>
          <t>High</t>
        </is>
      </c>
      <c r="F63" t="inlineStr">
        <is>
          <t>In Progress</t>
        </is>
      </c>
      <c r="G63" s="2" t="n">
        <v>46125</v>
      </c>
      <c r="H63" s="2" t="n">
        <v>46129</v>
      </c>
      <c r="I63" t="n">
        <v>5</v>
      </c>
    </row>
    <row r="64">
      <c r="A64" t="n">
        <v>2</v>
      </c>
      <c r="B64" t="inlineStr">
        <is>
          <t>No</t>
        </is>
      </c>
      <c r="C64" s="5" t="inlineStr">
        <is>
          <t>Extract entity transformation logic into shared helpers</t>
        </is>
      </c>
      <c r="D64" t="inlineStr">
        <is>
          <t>Engineering</t>
        </is>
      </c>
      <c r="E64" t="inlineStr">
        <is>
          <t>High</t>
        </is>
      </c>
      <c r="F64" t="inlineStr">
        <is>
          <t>In Progress</t>
        </is>
      </c>
      <c r="G64" s="2" t="n">
        <v>46125</v>
      </c>
      <c r="H64" s="2" t="n">
        <v>46129</v>
      </c>
      <c r="I64" t="n">
        <v>5</v>
      </c>
    </row>
    <row r="65">
      <c r="A65" t="n">
        <v>2</v>
      </c>
      <c r="B65" t="inlineStr">
        <is>
          <t>No</t>
        </is>
      </c>
      <c r="C65" s="5" t="inlineStr">
        <is>
          <t>Extract project-context gating into reusable guards</t>
        </is>
      </c>
      <c r="D65" t="inlineStr">
        <is>
          <t>Engineering</t>
        </is>
      </c>
      <c r="E65" t="inlineStr">
        <is>
          <t>High</t>
        </is>
      </c>
      <c r="F65" t="inlineStr">
        <is>
          <t>Done</t>
        </is>
      </c>
      <c r="G65" s="2" t="n">
        <v>46125</v>
      </c>
      <c r="H65" s="2" t="n">
        <v>46129</v>
      </c>
      <c r="I65" t="n">
        <v>5</v>
      </c>
    </row>
    <row r="66">
      <c r="A66" t="n">
        <v>2</v>
      </c>
      <c r="B66" t="inlineStr">
        <is>
          <t>No</t>
        </is>
      </c>
      <c r="C66" s="5" t="inlineStr">
        <is>
          <t>Extract repeated badge/status formatting logic</t>
        </is>
      </c>
      <c r="D66" t="inlineStr">
        <is>
          <t>Engineering</t>
        </is>
      </c>
      <c r="E66" t="inlineStr">
        <is>
          <t>Medium</t>
        </is>
      </c>
      <c r="F66" t="inlineStr">
        <is>
          <t>In Progress</t>
        </is>
      </c>
      <c r="G66" s="2" t="n">
        <v>46132</v>
      </c>
      <c r="H66" s="2" t="n">
        <v>46136</v>
      </c>
      <c r="I66" t="n">
        <v>5</v>
      </c>
    </row>
    <row r="67">
      <c r="A67" t="n">
        <v>2</v>
      </c>
      <c r="B67" t="inlineStr">
        <is>
          <t>No</t>
        </is>
      </c>
      <c r="C67" s="5" t="inlineStr">
        <is>
          <t>Reduce major pages to layout + composition</t>
        </is>
      </c>
      <c r="D67" t="inlineStr">
        <is>
          <t>Engineering</t>
        </is>
      </c>
      <c r="E67" t="inlineStr">
        <is>
          <t>High</t>
        </is>
      </c>
      <c r="F67" t="inlineStr">
        <is>
          <t>In Progress</t>
        </is>
      </c>
      <c r="G67" s="2" t="n">
        <v>46132</v>
      </c>
      <c r="H67" s="2" t="n">
        <v>46136</v>
      </c>
      <c r="I67" t="n">
        <v>5</v>
      </c>
    </row>
    <row r="68">
      <c r="A68" s="3" t="n">
        <v>1</v>
      </c>
      <c r="B68" s="3" t="inlineStr">
        <is>
          <t>Yes</t>
        </is>
      </c>
      <c r="C68" s="25" t="inlineStr">
        <is>
          <t>Security &amp; Config</t>
        </is>
      </c>
      <c r="D68" s="3" t="inlineStr">
        <is>
          <t>18</t>
        </is>
      </c>
      <c r="E68" s="3" t="inlineStr">
        <is>
          <t>18</t>
        </is>
      </c>
      <c r="F68" s="3" t="inlineStr">
        <is>
          <t>18</t>
        </is>
      </c>
      <c r="G68" s="4" t="n">
        <v>46118</v>
      </c>
      <c r="H68" s="4" t="n">
        <v>46129</v>
      </c>
      <c r="I68" s="3" t="n">
        <v>12</v>
      </c>
    </row>
    <row r="69">
      <c r="A69" t="n">
        <v>2</v>
      </c>
      <c r="B69" t="inlineStr">
        <is>
          <t>No</t>
        </is>
      </c>
      <c r="C69" s="5" t="inlineStr">
        <is>
          <t>Review src/api/base44Client.js</t>
        </is>
      </c>
      <c r="D69" t="inlineStr">
        <is>
          <t>Engineering</t>
        </is>
      </c>
      <c r="E69" t="inlineStr">
        <is>
          <t>Critical</t>
        </is>
      </c>
      <c r="F69" t="inlineStr">
        <is>
          <t>Done</t>
        </is>
      </c>
      <c r="G69" s="2" t="n">
        <v>46118</v>
      </c>
      <c r="H69" s="2" t="n">
        <v>46122</v>
      </c>
      <c r="I69" t="n">
        <v>5</v>
      </c>
    </row>
    <row r="70">
      <c r="A70" t="n">
        <v>2</v>
      </c>
      <c r="B70" t="inlineStr">
        <is>
          <t>No</t>
        </is>
      </c>
      <c r="C70" s="5" t="inlineStr">
        <is>
          <t>Review src/lib/app-params.js</t>
        </is>
      </c>
      <c r="D70" t="inlineStr">
        <is>
          <t>Engineering</t>
        </is>
      </c>
      <c r="E70" t="inlineStr">
        <is>
          <t>Critical</t>
        </is>
      </c>
      <c r="F70" t="inlineStr">
        <is>
          <t>Done</t>
        </is>
      </c>
      <c r="G70" s="2" t="n">
        <v>46118</v>
      </c>
      <c r="H70" s="2" t="n">
        <v>46122</v>
      </c>
      <c r="I70" t="n">
        <v>5</v>
      </c>
    </row>
    <row r="71">
      <c r="A71" t="n">
        <v>2</v>
      </c>
      <c r="B71" t="inlineStr">
        <is>
          <t>No</t>
        </is>
      </c>
      <c r="C71" s="5" t="inlineStr">
        <is>
          <t>Eliminate unsafe token sourcing from URL where possible</t>
        </is>
      </c>
      <c r="D71" t="inlineStr">
        <is>
          <t>Engineering</t>
        </is>
      </c>
      <c r="E71" t="inlineStr">
        <is>
          <t>Critical</t>
        </is>
      </c>
      <c r="F71" t="inlineStr">
        <is>
          <t>Done</t>
        </is>
      </c>
      <c r="G71" s="2" t="n">
        <v>46118</v>
      </c>
      <c r="H71" s="2" t="n">
        <v>46122</v>
      </c>
      <c r="I71" t="n">
        <v>5</v>
      </c>
    </row>
    <row r="72">
      <c r="A72" t="n">
        <v>2</v>
      </c>
      <c r="B72" t="inlineStr">
        <is>
          <t>No</t>
        </is>
      </c>
      <c r="C72" s="5" t="inlineStr">
        <is>
          <t>Reduce reliance on localStorage for sensitive auth flows</t>
        </is>
      </c>
      <c r="D72" t="inlineStr">
        <is>
          <t>Engineering</t>
        </is>
      </c>
      <c r="E72" t="inlineStr">
        <is>
          <t>High</t>
        </is>
      </c>
      <c r="F72" t="inlineStr">
        <is>
          <t>Done</t>
        </is>
      </c>
      <c r="G72" s="2" t="n">
        <v>46125</v>
      </c>
      <c r="H72" s="2" t="n">
        <v>46129</v>
      </c>
      <c r="I72" t="n">
        <v>5</v>
      </c>
    </row>
    <row r="73" ht="30" customHeight="1">
      <c r="A73" t="n">
        <v>2</v>
      </c>
      <c r="B73" t="inlineStr">
        <is>
          <t>No</t>
        </is>
      </c>
      <c r="C73" s="5" t="inlineStr">
        <is>
          <t>Replace loose requiresAuth: false patterns where inappropriate</t>
        </is>
      </c>
      <c r="D73" t="inlineStr">
        <is>
          <t>Engineering</t>
        </is>
      </c>
      <c r="E73" t="inlineStr">
        <is>
          <t>Critical</t>
        </is>
      </c>
      <c r="F73" t="inlineStr">
        <is>
          <t>Done</t>
        </is>
      </c>
      <c r="G73" s="2" t="n">
        <v>46118</v>
      </c>
      <c r="H73" s="2" t="n">
        <v>46122</v>
      </c>
      <c r="I73" t="n">
        <v>5</v>
      </c>
    </row>
    <row r="74">
      <c r="A74" t="n">
        <v>2</v>
      </c>
      <c r="B74" t="inlineStr">
        <is>
          <t>No</t>
        </is>
      </c>
      <c r="C74" s="5" t="inlineStr">
        <is>
          <t>Ensure business-critical paths require authenticated context</t>
        </is>
      </c>
      <c r="D74" t="inlineStr">
        <is>
          <t>Engineering</t>
        </is>
      </c>
      <c r="E74" t="inlineStr">
        <is>
          <t>Critical</t>
        </is>
      </c>
      <c r="F74" t="inlineStr">
        <is>
          <t>Done</t>
        </is>
      </c>
      <c r="G74" s="2" t="n">
        <v>46118</v>
      </c>
      <c r="H74" s="2" t="n">
        <v>46122</v>
      </c>
      <c r="I74" t="n">
        <v>5</v>
      </c>
    </row>
    <row r="75">
      <c r="A75" t="n">
        <v>2</v>
      </c>
      <c r="B75" t="inlineStr">
        <is>
          <t>No</t>
        </is>
      </c>
      <c r="C75" s="5" t="inlineStr">
        <is>
          <t>Verify project-level access boundaries are enforced</t>
        </is>
      </c>
      <c r="D75" t="inlineStr">
        <is>
          <t>Engineering / QA</t>
        </is>
      </c>
      <c r="E75" t="inlineStr">
        <is>
          <t>Critical</t>
        </is>
      </c>
      <c r="F75" t="inlineStr">
        <is>
          <t>Done</t>
        </is>
      </c>
      <c r="G75" s="2" t="n">
        <v>46125</v>
      </c>
      <c r="H75" s="2" t="n">
        <v>46129</v>
      </c>
      <c r="I75" t="n">
        <v>5</v>
      </c>
    </row>
    <row r="76">
      <c r="A76" t="n">
        <v>2</v>
      </c>
      <c r="B76" t="inlineStr">
        <is>
          <t>No</t>
        </is>
      </c>
      <c r="C76" s="5" t="inlineStr">
        <is>
          <t>Document approved auth/config pattern</t>
        </is>
      </c>
      <c r="D76" t="inlineStr">
        <is>
          <t>Engineering Lead</t>
        </is>
      </c>
      <c r="E76" t="inlineStr">
        <is>
          <t>Medium</t>
        </is>
      </c>
      <c r="F76" t="inlineStr">
        <is>
          <t>Done</t>
        </is>
      </c>
      <c r="G76" s="2" t="n">
        <v>46125</v>
      </c>
      <c r="H76" s="2" t="n">
        <v>46129</v>
      </c>
      <c r="I76" t="n">
        <v>5</v>
      </c>
    </row>
    <row r="77">
      <c r="A77" s="3" t="n">
        <v>1</v>
      </c>
      <c r="B77" s="3" t="inlineStr">
        <is>
          <t>Yes</t>
        </is>
      </c>
      <c r="C77" s="25" t="inlineStr">
        <is>
          <t>Backend Hardening</t>
        </is>
      </c>
      <c r="D77" s="3" t="inlineStr">
        <is>
          <t>18</t>
        </is>
      </c>
      <c r="E77" s="3" t="inlineStr">
        <is>
          <t>18</t>
        </is>
      </c>
      <c r="F77" s="3" t="inlineStr">
        <is>
          <t>18</t>
        </is>
      </c>
      <c r="G77" s="4" t="n">
        <v>46125</v>
      </c>
      <c r="H77" s="4" t="n">
        <v>46136</v>
      </c>
      <c r="I77" s="3" t="n">
        <v>12</v>
      </c>
    </row>
    <row r="78">
      <c r="A78" t="n">
        <v>2</v>
      </c>
      <c r="B78" t="inlineStr">
        <is>
          <t>No</t>
        </is>
      </c>
      <c r="C78" s="5" t="inlineStr">
        <is>
          <t>Review backend functions for auth consistency</t>
        </is>
      </c>
      <c r="D78" t="inlineStr">
        <is>
          <t>Engineering</t>
        </is>
      </c>
      <c r="E78" t="inlineStr">
        <is>
          <t>Critical</t>
        </is>
      </c>
      <c r="F78" t="inlineStr">
        <is>
          <t>Done</t>
        </is>
      </c>
      <c r="G78" s="2" t="n">
        <v>46125</v>
      </c>
      <c r="H78" s="2" t="n">
        <v>46129</v>
      </c>
      <c r="I78" t="n">
        <v>5</v>
      </c>
    </row>
    <row r="79">
      <c r="A79" t="n">
        <v>2</v>
      </c>
      <c r="B79" t="inlineStr">
        <is>
          <t>No</t>
        </is>
      </c>
      <c r="C79" s="5" t="inlineStr">
        <is>
          <t>Review unsafe service-role usage</t>
        </is>
      </c>
      <c r="D79" t="inlineStr">
        <is>
          <t>Engineering</t>
        </is>
      </c>
      <c r="E79" t="inlineStr">
        <is>
          <t>Critical</t>
        </is>
      </c>
      <c r="F79" t="inlineStr">
        <is>
          <t>Done</t>
        </is>
      </c>
      <c r="G79" s="2" t="n">
        <v>46125</v>
      </c>
      <c r="H79" s="2" t="n">
        <v>46129</v>
      </c>
      <c r="I79" t="n">
        <v>5</v>
      </c>
    </row>
    <row r="80">
      <c r="A80" t="n">
        <v>2</v>
      </c>
      <c r="B80" t="inlineStr">
        <is>
          <t>No</t>
        </is>
      </c>
      <c r="C80" s="5" t="inlineStr">
        <is>
          <t>Confirm project-level checks for sensitive operations</t>
        </is>
      </c>
      <c r="D80" t="inlineStr">
        <is>
          <t>Engineering</t>
        </is>
      </c>
      <c r="E80" t="inlineStr">
        <is>
          <t>Critical</t>
        </is>
      </c>
      <c r="F80" t="inlineStr">
        <is>
          <t>Done</t>
        </is>
      </c>
      <c r="G80" s="2" t="n">
        <v>46125</v>
      </c>
      <c r="H80" s="2" t="n">
        <v>46129</v>
      </c>
      <c r="I80" t="n">
        <v>5</v>
      </c>
    </row>
    <row r="81">
      <c r="A81" t="n">
        <v>2</v>
      </c>
      <c r="B81" t="inlineStr">
        <is>
          <t>No</t>
        </is>
      </c>
      <c r="C81" s="5" t="inlineStr">
        <is>
          <t>Validate webhook signature checks where applicable</t>
        </is>
      </c>
      <c r="D81" t="inlineStr">
        <is>
          <t>Engineering</t>
        </is>
      </c>
      <c r="E81" t="inlineStr">
        <is>
          <t>High</t>
        </is>
      </c>
      <c r="F81" t="inlineStr">
        <is>
          <t>Done</t>
        </is>
      </c>
      <c r="G81" s="2" t="n">
        <v>46132</v>
      </c>
      <c r="H81" s="2" t="n">
        <v>46136</v>
      </c>
      <c r="I81" t="n">
        <v>5</v>
      </c>
    </row>
    <row r="82">
      <c r="A82" t="n">
        <v>2</v>
      </c>
      <c r="B82" t="inlineStr">
        <is>
          <t>No</t>
        </is>
      </c>
      <c r="C82" s="5" t="inlineStr">
        <is>
          <t>Confirm environment variable names and usage are correct</t>
        </is>
      </c>
      <c r="D82" t="inlineStr">
        <is>
          <t>Engineering</t>
        </is>
      </c>
      <c r="E82" t="inlineStr">
        <is>
          <t>High</t>
        </is>
      </c>
      <c r="F82" t="inlineStr">
        <is>
          <t>Done</t>
        </is>
      </c>
      <c r="G82" s="2" t="n">
        <v>46125</v>
      </c>
      <c r="H82" s="2" t="n">
        <v>46129</v>
      </c>
      <c r="I82" t="n">
        <v>5</v>
      </c>
    </row>
    <row r="83">
      <c r="A83" s="3" t="n">
        <v>1</v>
      </c>
      <c r="B83" s="3" t="inlineStr">
        <is>
          <t>Yes</t>
        </is>
      </c>
      <c r="C83" s="25" t="inlineStr">
        <is>
          <t>UX Trust</t>
        </is>
      </c>
      <c r="D83" s="3" t="inlineStr">
        <is>
          <t>18</t>
        </is>
      </c>
      <c r="E83" s="3" t="inlineStr">
        <is>
          <t>18</t>
        </is>
      </c>
      <c r="F83" s="3" t="inlineStr">
        <is>
          <t>18</t>
        </is>
      </c>
      <c r="G83" s="4" t="n">
        <v>46118</v>
      </c>
      <c r="H83" s="4" t="n">
        <v>46129</v>
      </c>
      <c r="I83" s="3" t="n">
        <v>12</v>
      </c>
    </row>
    <row r="84">
      <c r="A84" t="n">
        <v>2</v>
      </c>
      <c r="B84" t="inlineStr">
        <is>
          <t>No</t>
        </is>
      </c>
      <c r="C84" s="5" t="inlineStr">
        <is>
          <t>Find all 'coming soon' or placeholder operational screens</t>
        </is>
      </c>
      <c r="D84" t="inlineStr">
        <is>
          <t>PM / QA</t>
        </is>
      </c>
      <c r="E84" t="inlineStr">
        <is>
          <t>High</t>
        </is>
      </c>
      <c r="F84" t="inlineStr">
        <is>
          <t>Done</t>
        </is>
      </c>
      <c r="G84" s="2" t="n">
        <v>46118</v>
      </c>
      <c r="H84" s="2" t="n">
        <v>46122</v>
      </c>
      <c r="I84" t="n">
        <v>5</v>
      </c>
    </row>
    <row r="85">
      <c r="A85" t="n">
        <v>2</v>
      </c>
      <c r="B85" t="inlineStr">
        <is>
          <t>No</t>
        </is>
      </c>
      <c r="C85" s="5" t="inlineStr">
        <is>
          <t>Hide incomplete features from production users</t>
        </is>
      </c>
      <c r="D85" t="inlineStr">
        <is>
          <t>Engineering</t>
        </is>
      </c>
      <c r="E85" t="inlineStr">
        <is>
          <t>High</t>
        </is>
      </c>
      <c r="F85" t="inlineStr">
        <is>
          <t>Done</t>
        </is>
      </c>
      <c r="G85" s="2" t="n">
        <v>46118</v>
      </c>
      <c r="H85" s="2" t="n">
        <v>46122</v>
      </c>
      <c r="I85" t="n">
        <v>5</v>
      </c>
    </row>
    <row r="86">
      <c r="A86" t="n">
        <v>2</v>
      </c>
      <c r="B86" t="inlineStr">
        <is>
          <t>No</t>
        </is>
      </c>
      <c r="C86" s="5" t="inlineStr">
        <is>
          <t>Replace placeholders with clear 'not enabled' messaging</t>
        </is>
      </c>
      <c r="D86" t="inlineStr">
        <is>
          <t>Engineering</t>
        </is>
      </c>
      <c r="E86" t="inlineStr">
        <is>
          <t>Medium</t>
        </is>
      </c>
      <c r="F86" t="inlineStr">
        <is>
          <t>Done</t>
        </is>
      </c>
      <c r="G86" s="2" t="n">
        <v>46118</v>
      </c>
      <c r="H86" s="2" t="n">
        <v>46122</v>
      </c>
      <c r="I86" t="n">
        <v>5</v>
      </c>
    </row>
    <row r="87">
      <c r="A87" t="n">
        <v>2</v>
      </c>
      <c r="B87" t="inlineStr">
        <is>
          <t>No</t>
        </is>
      </c>
      <c r="C87" s="5" t="inlineStr">
        <is>
          <t>Remove fake buttons or dead controls</t>
        </is>
      </c>
      <c r="D87" t="inlineStr">
        <is>
          <t>Engineering</t>
        </is>
      </c>
      <c r="E87" t="inlineStr">
        <is>
          <t>High</t>
        </is>
      </c>
      <c r="F87" t="inlineStr">
        <is>
          <t>Done</t>
        </is>
      </c>
      <c r="G87" s="2" t="n">
        <v>46118</v>
      </c>
      <c r="H87" s="2" t="n">
        <v>46122</v>
      </c>
      <c r="I87" t="n">
        <v>5</v>
      </c>
    </row>
    <row r="88">
      <c r="A88" t="n">
        <v>2</v>
      </c>
      <c r="B88" t="inlineStr">
        <is>
          <t>No</t>
        </is>
      </c>
      <c r="C88" s="5" t="inlineStr">
        <is>
          <t>Ensure every visible feature does something trustworthy</t>
        </is>
      </c>
      <c r="D88" t="inlineStr">
        <is>
          <t>QA</t>
        </is>
      </c>
      <c r="E88" t="inlineStr">
        <is>
          <t>Critical</t>
        </is>
      </c>
      <c r="F88" t="inlineStr">
        <is>
          <t>In Progress</t>
        </is>
      </c>
      <c r="G88" s="2" t="n">
        <v>46125</v>
      </c>
      <c r="H88" s="2" t="n">
        <v>46129</v>
      </c>
      <c r="I88" t="n">
        <v>5</v>
      </c>
    </row>
    <row r="89">
      <c r="A89" s="3" t="n">
        <v>1</v>
      </c>
      <c r="B89" s="3" t="inlineStr">
        <is>
          <t>Yes</t>
        </is>
      </c>
      <c r="C89" s="25" t="inlineStr">
        <is>
          <t>Workflow Continuity</t>
        </is>
      </c>
      <c r="D89" s="3" t="inlineStr">
        <is>
          <t>18</t>
        </is>
      </c>
      <c r="E89" s="3" t="inlineStr">
        <is>
          <t>18</t>
        </is>
      </c>
      <c r="F89" s="3" t="inlineStr">
        <is>
          <t>18</t>
        </is>
      </c>
      <c r="G89" s="4" t="n">
        <v>46118</v>
      </c>
      <c r="H89" s="4" t="n">
        <v>46136</v>
      </c>
      <c r="I89" s="3" t="n">
        <v>19</v>
      </c>
    </row>
    <row r="90">
      <c r="A90" t="n">
        <v>2</v>
      </c>
      <c r="B90" t="inlineStr">
        <is>
          <t>No</t>
        </is>
      </c>
      <c r="C90" s="5" t="inlineStr">
        <is>
          <t>Audit drawings workflow end to end</t>
        </is>
      </c>
      <c r="D90" t="inlineStr">
        <is>
          <t>PM / QA / Engineering</t>
        </is>
      </c>
      <c r="E90" t="inlineStr">
        <is>
          <t>Critical</t>
        </is>
      </c>
      <c r="F90" t="inlineStr">
        <is>
          <t>Done</t>
        </is>
      </c>
      <c r="G90" s="2" t="n">
        <v>46118</v>
      </c>
      <c r="H90" s="2" t="n">
        <v>46122</v>
      </c>
      <c r="I90" t="n">
        <v>5</v>
      </c>
    </row>
    <row r="91">
      <c r="A91" t="n">
        <v>2</v>
      </c>
      <c r="B91" t="inlineStr">
        <is>
          <t>No</t>
        </is>
      </c>
      <c r="C91" s="5" t="inlineStr">
        <is>
          <t>Audit RFI workflow end to end</t>
        </is>
      </c>
      <c r="D91" t="inlineStr">
        <is>
          <t>PM / QA / Engineering</t>
        </is>
      </c>
      <c r="E91" t="inlineStr">
        <is>
          <t>Critical</t>
        </is>
      </c>
      <c r="F91" t="inlineStr">
        <is>
          <t>In Progress</t>
        </is>
      </c>
      <c r="G91" s="2" t="n">
        <v>46118</v>
      </c>
      <c r="H91" s="2" t="n">
        <v>46122</v>
      </c>
      <c r="I91" t="n">
        <v>5</v>
      </c>
    </row>
    <row r="92">
      <c r="A92" t="n">
        <v>2</v>
      </c>
      <c r="B92" t="inlineStr">
        <is>
          <t>No</t>
        </is>
      </c>
      <c r="C92" s="5" t="inlineStr">
        <is>
          <t>Audit work package workflow end to end</t>
        </is>
      </c>
      <c r="D92" t="inlineStr">
        <is>
          <t>PM / QA / Engineering</t>
        </is>
      </c>
      <c r="E92" t="inlineStr">
        <is>
          <t>High</t>
        </is>
      </c>
      <c r="F92" t="inlineStr">
        <is>
          <t>Done</t>
        </is>
      </c>
      <c r="G92" s="2" t="n">
        <v>46125</v>
      </c>
      <c r="H92" s="2" t="n">
        <v>46129</v>
      </c>
      <c r="I92" t="n">
        <v>5</v>
      </c>
    </row>
    <row r="93">
      <c r="A93" t="n">
        <v>2</v>
      </c>
      <c r="B93" t="inlineStr">
        <is>
          <t>No</t>
        </is>
      </c>
      <c r="C93" s="5" t="inlineStr">
        <is>
          <t>Audit deliveries workflow end to end</t>
        </is>
      </c>
      <c r="D93" t="inlineStr">
        <is>
          <t>PM / QA / Engineering</t>
        </is>
      </c>
      <c r="E93" t="inlineStr">
        <is>
          <t>High</t>
        </is>
      </c>
      <c r="F93" t="inlineStr">
        <is>
          <t>Done</t>
        </is>
      </c>
      <c r="G93" s="2" t="n">
        <v>46125</v>
      </c>
      <c r="H93" s="2" t="n">
        <v>46129</v>
      </c>
      <c r="I93" t="n">
        <v>5</v>
      </c>
    </row>
    <row r="94">
      <c r="A94" t="n">
        <v>2</v>
      </c>
      <c r="B94" t="inlineStr">
        <is>
          <t>No</t>
        </is>
      </c>
      <c r="C94" s="5" t="inlineStr">
        <is>
          <t>Audit schedule workflow and look-ahead planning</t>
        </is>
      </c>
      <c r="D94" t="inlineStr">
        <is>
          <t>PM / QA / Engineering</t>
        </is>
      </c>
      <c r="E94" t="inlineStr">
        <is>
          <t>High</t>
        </is>
      </c>
      <c r="F94" t="inlineStr">
        <is>
          <t>In Progress</t>
        </is>
      </c>
      <c r="G94" s="2" t="n">
        <v>46125</v>
      </c>
      <c r="H94" s="2" t="n">
        <v>46129</v>
      </c>
      <c r="I94" t="n">
        <v>5</v>
      </c>
    </row>
    <row r="95">
      <c r="A95" t="n">
        <v>2</v>
      </c>
      <c r="B95" t="inlineStr">
        <is>
          <t>No</t>
        </is>
      </c>
      <c r="C95" s="5" t="inlineStr">
        <is>
          <t>Audit cost / SOV / budget control workflow</t>
        </is>
      </c>
      <c r="D95" t="inlineStr">
        <is>
          <t>PM / QA / Engineering</t>
        </is>
      </c>
      <c r="E95" t="inlineStr">
        <is>
          <t>Critical</t>
        </is>
      </c>
      <c r="F95" t="inlineStr">
        <is>
          <t>In Progress</t>
        </is>
      </c>
      <c r="G95" s="2" t="n">
        <v>46125</v>
      </c>
      <c r="H95" s="2" t="n">
        <v>46129</v>
      </c>
      <c r="I95" t="n">
        <v>5</v>
      </c>
    </row>
    <row r="96">
      <c r="A96" t="n">
        <v>2</v>
      </c>
      <c r="B96" t="inlineStr">
        <is>
          <t>No</t>
        </is>
      </c>
      <c r="C96" s="5" t="inlineStr">
        <is>
          <t>Audit PMA usefulness inside real PM workflow</t>
        </is>
      </c>
      <c r="D96" t="inlineStr">
        <is>
          <t>PM / QA / Engineering</t>
        </is>
      </c>
      <c r="E96" t="inlineStr">
        <is>
          <t>Critical</t>
        </is>
      </c>
      <c r="F96" t="inlineStr">
        <is>
          <t>Done</t>
        </is>
      </c>
      <c r="G96" s="2" t="n">
        <v>46125</v>
      </c>
      <c r="H96" s="2" t="n">
        <v>46129</v>
      </c>
      <c r="I96" t="n">
        <v>5</v>
      </c>
    </row>
    <row r="97">
      <c r="A97" t="n">
        <v>2</v>
      </c>
      <c r="B97" t="inlineStr">
        <is>
          <t>No</t>
        </is>
      </c>
      <c r="C97" s="5" t="inlineStr">
        <is>
          <t>Fix handoff gaps between office, shop, and field surfaces</t>
        </is>
      </c>
      <c r="D97" t="inlineStr">
        <is>
          <t>Engineering</t>
        </is>
      </c>
      <c r="E97" t="inlineStr">
        <is>
          <t>High</t>
        </is>
      </c>
      <c r="F97" t="inlineStr">
        <is>
          <t>In Progress</t>
        </is>
      </c>
      <c r="G97" s="2" t="n">
        <v>46132</v>
      </c>
      <c r="H97" s="2" t="n">
        <v>46136</v>
      </c>
      <c r="I97" t="n">
        <v>5</v>
      </c>
    </row>
    <row r="98">
      <c r="A98" s="3" t="n">
        <v>1</v>
      </c>
      <c r="B98" s="3" t="inlineStr">
        <is>
          <t>Yes</t>
        </is>
      </c>
      <c r="C98" s="25" t="inlineStr">
        <is>
          <t>Project Boundaries</t>
        </is>
      </c>
      <c r="D98" s="3" t="inlineStr">
        <is>
          <t>18</t>
        </is>
      </c>
      <c r="E98" s="3" t="inlineStr">
        <is>
          <t>18</t>
        </is>
      </c>
      <c r="F98" s="3" t="inlineStr">
        <is>
          <t>18</t>
        </is>
      </c>
      <c r="G98" s="4" t="n">
        <v>46125</v>
      </c>
      <c r="H98" s="4" t="n">
        <v>46136</v>
      </c>
      <c r="I98" s="3" t="n">
        <v>12</v>
      </c>
    </row>
    <row r="99">
      <c r="A99" t="n">
        <v>2</v>
      </c>
      <c r="B99" t="inlineStr">
        <is>
          <t>No</t>
        </is>
      </c>
      <c r="C99" s="5" t="inlineStr">
        <is>
          <t>Verify every operational module respects project context</t>
        </is>
      </c>
      <c r="D99" t="inlineStr">
        <is>
          <t>Engineering / QA</t>
        </is>
      </c>
      <c r="E99" t="inlineStr">
        <is>
          <t>Critical</t>
        </is>
      </c>
      <c r="F99" t="inlineStr">
        <is>
          <t>Done</t>
        </is>
      </c>
      <c r="G99" s="2" t="n">
        <v>46125</v>
      </c>
      <c r="H99" s="2" t="n">
        <v>46129</v>
      </c>
      <c r="I99" t="n">
        <v>5</v>
      </c>
    </row>
    <row r="100">
      <c r="A100" t="n">
        <v>2</v>
      </c>
      <c r="B100" t="inlineStr">
        <is>
          <t>No</t>
        </is>
      </c>
      <c r="C100" s="5" t="inlineStr">
        <is>
          <t>Remove silent cross-project blending in working modules</t>
        </is>
      </c>
      <c r="D100" t="inlineStr">
        <is>
          <t>Engineering</t>
        </is>
      </c>
      <c r="E100" t="inlineStr">
        <is>
          <t>High</t>
        </is>
      </c>
      <c r="F100" t="inlineStr">
        <is>
          <t>Done</t>
        </is>
      </c>
      <c r="G100" s="2" t="n">
        <v>46125</v>
      </c>
      <c r="H100" s="2" t="n">
        <v>46129</v>
      </c>
      <c r="I100" t="n">
        <v>5</v>
      </c>
    </row>
    <row r="101">
      <c r="A101" t="n">
        <v>2</v>
      </c>
      <c r="B101" t="inlineStr">
        <is>
          <t>No</t>
        </is>
      </c>
      <c r="C101" s="5" t="inlineStr">
        <is>
          <t>Separate executive roll-up views from project execution views</t>
        </is>
      </c>
      <c r="D101" t="inlineStr">
        <is>
          <t>Engineering</t>
        </is>
      </c>
      <c r="E101" t="inlineStr">
        <is>
          <t>High</t>
        </is>
      </c>
      <c r="F101" t="inlineStr">
        <is>
          <t>Done</t>
        </is>
      </c>
      <c r="G101" s="2" t="n">
        <v>46132</v>
      </c>
      <c r="H101" s="2" t="n">
        <v>46136</v>
      </c>
      <c r="I101" t="n">
        <v>5</v>
      </c>
    </row>
    <row r="102">
      <c r="A102" t="n">
        <v>2</v>
      </c>
      <c r="B102" t="inlineStr">
        <is>
          <t>No</t>
        </is>
      </c>
      <c r="C102" s="5" t="inlineStr">
        <is>
          <t>Confirm filters, summaries, and KPIs are scoped correctly</t>
        </is>
      </c>
      <c r="D102" t="inlineStr">
        <is>
          <t>QA</t>
        </is>
      </c>
      <c r="E102" t="inlineStr">
        <is>
          <t>High</t>
        </is>
      </c>
      <c r="F102" t="inlineStr">
        <is>
          <t>In Progress</t>
        </is>
      </c>
      <c r="G102" s="2" t="n">
        <v>46132</v>
      </c>
      <c r="H102" s="2" t="n">
        <v>46136</v>
      </c>
      <c r="I102" t="n">
        <v>5</v>
      </c>
    </row>
    <row r="103">
      <c r="A103" t="n">
        <v>2</v>
      </c>
      <c r="B103" t="inlineStr">
        <is>
          <t>No</t>
        </is>
      </c>
      <c r="C103" s="5" t="inlineStr">
        <is>
          <t>Retest project switching across major pages</t>
        </is>
      </c>
      <c r="D103" t="inlineStr">
        <is>
          <t>QA</t>
        </is>
      </c>
      <c r="E103" t="inlineStr">
        <is>
          <t>Critical</t>
        </is>
      </c>
      <c r="F103" t="inlineStr">
        <is>
          <t>In Progress</t>
        </is>
      </c>
      <c r="G103" s="2" t="n">
        <v>46132</v>
      </c>
      <c r="H103" s="2" t="n">
        <v>46136</v>
      </c>
      <c r="I103" t="n">
        <v>5</v>
      </c>
    </row>
    <row r="104">
      <c r="A104" s="3" t="n">
        <v>1</v>
      </c>
      <c r="B104" s="3" t="inlineStr">
        <is>
          <t>Yes</t>
        </is>
      </c>
      <c r="C104" s="25" t="inlineStr">
        <is>
          <t>Testing</t>
        </is>
      </c>
      <c r="D104" s="3" t="inlineStr">
        <is>
          <t>18</t>
        </is>
      </c>
      <c r="E104" s="3" t="inlineStr">
        <is>
          <t>18</t>
        </is>
      </c>
      <c r="F104" s="3" t="inlineStr">
        <is>
          <t>18</t>
        </is>
      </c>
      <c r="G104" s="4" t="n">
        <v>46132</v>
      </c>
      <c r="H104" s="4" t="n">
        <v>46136</v>
      </c>
      <c r="I104" s="3" t="n">
        <v>5</v>
      </c>
    </row>
    <row r="105">
      <c r="A105" t="n">
        <v>2</v>
      </c>
      <c r="B105" t="inlineStr">
        <is>
          <t>No</t>
        </is>
      </c>
      <c r="C105" s="5" t="inlineStr">
        <is>
          <t>Create tests for create/edit/delete on core records</t>
        </is>
      </c>
      <c r="D105" t="inlineStr">
        <is>
          <t>QA / Engineering</t>
        </is>
      </c>
      <c r="E105" t="inlineStr">
        <is>
          <t>Critical</t>
        </is>
      </c>
      <c r="F105" t="inlineStr">
        <is>
          <t>Done</t>
        </is>
      </c>
      <c r="G105" s="2" t="n">
        <v>46132</v>
      </c>
      <c r="H105" s="2" t="n">
        <v>46136</v>
      </c>
      <c r="I105" t="n">
        <v>5</v>
      </c>
    </row>
    <row r="106">
      <c r="A106" t="n">
        <v>2</v>
      </c>
      <c r="B106" t="inlineStr">
        <is>
          <t>No</t>
        </is>
      </c>
      <c r="C106" s="5" t="inlineStr">
        <is>
          <t>Add tests for task persistence</t>
        </is>
      </c>
      <c r="D106" t="inlineStr">
        <is>
          <t>QA / Engineering</t>
        </is>
      </c>
      <c r="E106" t="inlineStr">
        <is>
          <t>Critical</t>
        </is>
      </c>
      <c r="F106" t="inlineStr">
        <is>
          <t>Done</t>
        </is>
      </c>
      <c r="G106" s="2" t="n">
        <v>46132</v>
      </c>
      <c r="H106" s="2" t="n">
        <v>46136</v>
      </c>
      <c r="I106" t="n">
        <v>5</v>
      </c>
    </row>
    <row r="107">
      <c r="A107" t="n">
        <v>2</v>
      </c>
      <c r="B107" t="inlineStr">
        <is>
          <t>No</t>
        </is>
      </c>
      <c r="C107" s="5" t="inlineStr">
        <is>
          <t>Add tests for project context switching</t>
        </is>
      </c>
      <c r="D107" t="inlineStr">
        <is>
          <t>QA / Engineering</t>
        </is>
      </c>
      <c r="E107" t="inlineStr">
        <is>
          <t>High</t>
        </is>
      </c>
      <c r="F107" t="inlineStr">
        <is>
          <t>Done</t>
        </is>
      </c>
      <c r="G107" s="2" t="n">
        <v>46132</v>
      </c>
      <c r="H107" s="2" t="n">
        <v>46136</v>
      </c>
      <c r="I107" t="n">
        <v>5</v>
      </c>
    </row>
    <row r="108">
      <c r="A108" t="n">
        <v>2</v>
      </c>
      <c r="B108" t="inlineStr">
        <is>
          <t>No</t>
        </is>
      </c>
      <c r="C108" s="5" t="inlineStr">
        <is>
          <t>Add tests for stage advancement</t>
        </is>
      </c>
      <c r="D108" t="inlineStr">
        <is>
          <t>QA / Engineering</t>
        </is>
      </c>
      <c r="E108" t="inlineStr">
        <is>
          <t>High</t>
        </is>
      </c>
      <c r="F108" t="inlineStr">
        <is>
          <t>Done</t>
        </is>
      </c>
      <c r="G108" s="2" t="n">
        <v>46132</v>
      </c>
      <c r="H108" s="2" t="n">
        <v>46136</v>
      </c>
      <c r="I108" t="n">
        <v>5</v>
      </c>
    </row>
    <row r="109">
      <c r="A109" t="n">
        <v>2</v>
      </c>
      <c r="B109" t="inlineStr">
        <is>
          <t>No</t>
        </is>
      </c>
      <c r="C109" s="5" t="inlineStr">
        <is>
          <t>Add tests for assignment flows</t>
        </is>
      </c>
      <c r="D109" t="inlineStr">
        <is>
          <t>QA / Engineering</t>
        </is>
      </c>
      <c r="E109" t="inlineStr">
        <is>
          <t>Medium</t>
        </is>
      </c>
      <c r="F109" t="inlineStr">
        <is>
          <t>In Progress</t>
        </is>
      </c>
      <c r="G109" s="2" t="n">
        <v>46132</v>
      </c>
      <c r="H109" s="2" t="n">
        <v>46136</v>
      </c>
      <c r="I109" t="n">
        <v>5</v>
      </c>
    </row>
    <row r="110">
      <c r="A110" t="n">
        <v>2</v>
      </c>
      <c r="B110" t="inlineStr">
        <is>
          <t>No</t>
        </is>
      </c>
      <c r="C110" s="5" t="inlineStr">
        <is>
          <t>Add tests for cost calculations and KPIs</t>
        </is>
      </c>
      <c r="D110" t="inlineStr">
        <is>
          <t>QA / Engineering</t>
        </is>
      </c>
      <c r="E110" t="inlineStr">
        <is>
          <t>Critical</t>
        </is>
      </c>
      <c r="F110" t="inlineStr">
        <is>
          <t>Done</t>
        </is>
      </c>
      <c r="G110" s="2" t="n">
        <v>46132</v>
      </c>
      <c r="H110" s="2" t="n">
        <v>46136</v>
      </c>
      <c r="I110" t="n">
        <v>5</v>
      </c>
    </row>
    <row r="111">
      <c r="A111" t="n">
        <v>2</v>
      </c>
      <c r="B111" t="inlineStr">
        <is>
          <t>No</t>
        </is>
      </c>
      <c r="C111" s="5" t="inlineStr">
        <is>
          <t>Add tests for sync-sensitive workflows</t>
        </is>
      </c>
      <c r="D111" t="inlineStr">
        <is>
          <t>QA / Engineering</t>
        </is>
      </c>
      <c r="E111" t="inlineStr">
        <is>
          <t>Critical</t>
        </is>
      </c>
      <c r="F111" t="inlineStr">
        <is>
          <t>Done</t>
        </is>
      </c>
      <c r="G111" s="2" t="n">
        <v>46132</v>
      </c>
      <c r="H111" s="2" t="n">
        <v>46136</v>
      </c>
      <c r="I111" t="n">
        <v>5</v>
      </c>
    </row>
    <row r="112">
      <c r="A112" t="n">
        <v>2</v>
      </c>
      <c r="B112" t="inlineStr">
        <is>
          <t>No</t>
        </is>
      </c>
      <c r="C112" s="5" t="inlineStr">
        <is>
          <t>Add tests for drawing revision logic</t>
        </is>
      </c>
      <c r="D112" t="inlineStr">
        <is>
          <t>QA / Engineering</t>
        </is>
      </c>
      <c r="E112" t="inlineStr">
        <is>
          <t>Critical</t>
        </is>
      </c>
      <c r="F112" t="inlineStr">
        <is>
          <t>Done</t>
        </is>
      </c>
      <c r="G112" s="2" t="n">
        <v>46132</v>
      </c>
      <c r="H112" s="2" t="n">
        <v>46136</v>
      </c>
      <c r="I112" t="n">
        <v>5</v>
      </c>
    </row>
    <row r="113">
      <c r="A113" t="n">
        <v>2</v>
      </c>
      <c r="B113" t="inlineStr">
        <is>
          <t>No</t>
        </is>
      </c>
      <c r="C113" s="5" t="inlineStr">
        <is>
          <t>Add tests for major save forms</t>
        </is>
      </c>
      <c r="D113" t="inlineStr">
        <is>
          <t>QA / Engineering</t>
        </is>
      </c>
      <c r="E113" t="inlineStr">
        <is>
          <t>High</t>
        </is>
      </c>
      <c r="F113" t="inlineStr">
        <is>
          <t>Done</t>
        </is>
      </c>
      <c r="G113" s="2" t="n">
        <v>46132</v>
      </c>
      <c r="H113" s="2" t="n">
        <v>46136</v>
      </c>
      <c r="I113" t="n">
        <v>5</v>
      </c>
    </row>
    <row r="114">
      <c r="A114" t="n">
        <v>2</v>
      </c>
      <c r="B114" t="inlineStr">
        <is>
          <t>No</t>
        </is>
      </c>
      <c r="C114" s="5" t="inlineStr">
        <is>
          <t>Add tests for permission-sensitive operations</t>
        </is>
      </c>
      <c r="D114" t="inlineStr">
        <is>
          <t>QA / Engineering</t>
        </is>
      </c>
      <c r="E114" t="inlineStr">
        <is>
          <t>High</t>
        </is>
      </c>
      <c r="F114" t="inlineStr">
        <is>
          <t>Done</t>
        </is>
      </c>
      <c r="G114" s="2" t="n">
        <v>46132</v>
      </c>
      <c r="H114" s="2" t="n">
        <v>46136</v>
      </c>
      <c r="I114" t="n">
        <v>5</v>
      </c>
    </row>
    <row r="115">
      <c r="A115" s="3" t="n">
        <v>1</v>
      </c>
      <c r="B115" s="3" t="inlineStr">
        <is>
          <t>Yes</t>
        </is>
      </c>
      <c r="C115" s="25" t="inlineStr">
        <is>
          <t>Production Readiness</t>
        </is>
      </c>
      <c r="D115" s="3" t="inlineStr">
        <is>
          <t>18</t>
        </is>
      </c>
      <c r="E115" s="3" t="inlineStr">
        <is>
          <t>18</t>
        </is>
      </c>
      <c r="F115" s="3" t="inlineStr">
        <is>
          <t>18</t>
        </is>
      </c>
      <c r="G115" s="4" t="n">
        <v>46139</v>
      </c>
      <c r="H115" s="4" t="n">
        <v>46143</v>
      </c>
      <c r="I115" s="3" t="n">
        <v>5</v>
      </c>
    </row>
    <row r="116">
      <c r="A116" t="n">
        <v>2</v>
      </c>
      <c r="B116" t="inlineStr">
        <is>
          <t>No</t>
        </is>
      </c>
      <c r="C116" s="5" t="inlineStr">
        <is>
          <t>Re-audit all critical modules after refactors</t>
        </is>
      </c>
      <c r="D116" t="inlineStr">
        <is>
          <t>QA / PM</t>
        </is>
      </c>
      <c r="E116" t="inlineStr">
        <is>
          <t>High</t>
        </is>
      </c>
      <c r="F116" t="inlineStr">
        <is>
          <t>Done</t>
        </is>
      </c>
      <c r="G116" s="2" t="n">
        <v>46139</v>
      </c>
      <c r="H116" s="2" t="n">
        <v>46143</v>
      </c>
      <c r="I116" t="n">
        <v>5</v>
      </c>
    </row>
    <row r="117">
      <c r="A117" t="n">
        <v>2</v>
      </c>
      <c r="B117" t="inlineStr">
        <is>
          <t>No</t>
        </is>
      </c>
      <c r="C117" s="5" t="inlineStr">
        <is>
          <t>Re-run lint with zero critical issues</t>
        </is>
      </c>
      <c r="D117" t="inlineStr">
        <is>
          <t>Engineering</t>
        </is>
      </c>
      <c r="E117" t="inlineStr">
        <is>
          <t>High</t>
        </is>
      </c>
      <c r="F117" t="inlineStr">
        <is>
          <t>Done</t>
        </is>
      </c>
      <c r="G117" s="2" t="n">
        <v>46139</v>
      </c>
      <c r="H117" s="2" t="n">
        <v>46143</v>
      </c>
      <c r="I117" t="n">
        <v>5</v>
      </c>
    </row>
    <row r="118">
      <c r="A118" t="n">
        <v>2</v>
      </c>
      <c r="B118" t="inlineStr">
        <is>
          <t>No</t>
        </is>
      </c>
      <c r="C118" s="5" t="inlineStr">
        <is>
          <t>Re-run typecheck with expanded coverage</t>
        </is>
      </c>
      <c r="D118" t="inlineStr">
        <is>
          <t>Engineering</t>
        </is>
      </c>
      <c r="E118" t="inlineStr">
        <is>
          <t>High</t>
        </is>
      </c>
      <c r="F118" t="inlineStr">
        <is>
          <t>Done</t>
        </is>
      </c>
      <c r="G118" s="2" t="n">
        <v>46139</v>
      </c>
      <c r="H118" s="2" t="n">
        <v>46143</v>
      </c>
      <c r="I118" t="n">
        <v>5</v>
      </c>
    </row>
    <row r="119">
      <c r="A119" t="n">
        <v>2</v>
      </c>
      <c r="B119" t="inlineStr">
        <is>
          <t>No</t>
        </is>
      </c>
      <c r="C119" s="5" t="inlineStr">
        <is>
          <t>Re-test all core workflows</t>
        </is>
      </c>
      <c r="D119" t="inlineStr">
        <is>
          <t>QA</t>
        </is>
      </c>
      <c r="E119" t="inlineStr">
        <is>
          <t>Critical</t>
        </is>
      </c>
      <c r="F119" t="inlineStr">
        <is>
          <t>Blocked</t>
        </is>
      </c>
      <c r="G119" s="2" t="n">
        <v>46139</v>
      </c>
      <c r="H119" s="2" t="n">
        <v>46143</v>
      </c>
      <c r="I119" t="n">
        <v>5</v>
      </c>
    </row>
    <row r="120">
      <c r="A120" t="n">
        <v>2</v>
      </c>
      <c r="B120" t="inlineStr">
        <is>
          <t>No</t>
        </is>
      </c>
      <c r="C120" s="5" t="inlineStr">
        <is>
          <t>Re-check permissions and auth</t>
        </is>
      </c>
      <c r="D120" t="inlineStr">
        <is>
          <t>QA / Engineering</t>
        </is>
      </c>
      <c r="E120" t="inlineStr">
        <is>
          <t>Critical</t>
        </is>
      </c>
      <c r="F120" t="inlineStr">
        <is>
          <t>Done</t>
        </is>
      </c>
      <c r="G120" s="2" t="n">
        <v>46139</v>
      </c>
      <c r="H120" s="2" t="n">
        <v>46143</v>
      </c>
      <c r="I120" t="n">
        <v>5</v>
      </c>
    </row>
    <row r="121">
      <c r="A121" t="n">
        <v>2</v>
      </c>
      <c r="B121" t="inlineStr">
        <is>
          <t>No</t>
        </is>
      </c>
      <c r="C121" s="5" t="inlineStr">
        <is>
          <t>Re-check project boundary enforcement</t>
        </is>
      </c>
      <c r="D121" t="inlineStr">
        <is>
          <t>QA</t>
        </is>
      </c>
      <c r="E121" t="inlineStr">
        <is>
          <t>High</t>
        </is>
      </c>
      <c r="F121" t="inlineStr">
        <is>
          <t>Done</t>
        </is>
      </c>
      <c r="G121" s="2" t="n">
        <v>46139</v>
      </c>
      <c r="H121" s="2" t="n">
        <v>46143</v>
      </c>
      <c r="I121" t="n">
        <v>5</v>
      </c>
    </row>
    <row r="122">
      <c r="A122" t="n">
        <v>2</v>
      </c>
      <c r="B122" t="inlineStr">
        <is>
          <t>No</t>
        </is>
      </c>
      <c r="C122" s="5" t="inlineStr">
        <is>
          <t>Re-check UI trust and silent failure risk</t>
        </is>
      </c>
      <c r="D122" t="inlineStr">
        <is>
          <t>QA / PM</t>
        </is>
      </c>
      <c r="E122" t="inlineStr">
        <is>
          <t>High</t>
        </is>
      </c>
      <c r="F122" t="inlineStr">
        <is>
          <t>Done</t>
        </is>
      </c>
      <c r="G122" s="2" t="n">
        <v>46139</v>
      </c>
      <c r="H122" s="2" t="n">
        <v>46143</v>
      </c>
      <c r="I122" t="n">
        <v>5</v>
      </c>
    </row>
  </sheetData>
  <conditionalFormatting sqref="E2:E122">
    <cfRule type="containsText" priority="1" operator="containsText" dxfId="0" text="Critical"/>
    <cfRule type="containsText" priority="2" operator="containsText" dxfId="3" text="High"/>
    <cfRule type="containsText" priority="3" operator="containsText" dxfId="7" text="Medium"/>
    <cfRule type="containsText" priority="4" operator="containsText" dxfId="1" text="Low"/>
  </conditionalFormatting>
  <conditionalFormatting sqref="F2:F122">
    <cfRule type="containsText" priority="5" operator="containsText" dxfId="5" text="Done"/>
    <cfRule type="containsText" priority="7" operator="containsText" dxfId="4" text="Ready for QA"/>
    <cfRule type="containsText" priority="8" operator="containsText" dxfId="3" text="In Progress"/>
    <cfRule type="containsText" priority="9" operator="containsText" dxfId="0" text="Blocked"/>
    <cfRule type="containsText" priority="10" operator="containsText" dxfId="1" text="Not Started"/>
  </conditionalFormatting>
  <conditionalFormatting sqref="H2:H122">
    <cfRule type="expression" priority="11" dxfId="0">
      <formula>AND($B2="No",$H2&lt;TODAY(),$F2&lt;&gt;"Done",$F2&lt;&gt;"QA Complete")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 ht="33.95" customHeight="1">
      <c r="A1" s="26" t="inlineStr">
        <is>
          <t>Usage</t>
        </is>
      </c>
    </row>
    <row r="3" ht="24" customHeight="1">
      <c r="A3" s="19" t="inlineStr">
        <is>
          <t>Excel:</t>
        </is>
      </c>
    </row>
    <row r="4">
      <c r="A4" s="5" t="inlineStr">
        <is>
          <t>Use the Tracker sheet as the working checklist.</t>
        </is>
      </c>
    </row>
    <row r="5">
      <c r="A5" s="5" t="n"/>
    </row>
    <row r="6" ht="24" customHeight="1">
      <c r="A6" s="27" t="inlineStr">
        <is>
          <t>Microsoft Project:</t>
        </is>
      </c>
    </row>
    <row r="7">
      <c r="A7" s="5" t="inlineStr">
        <is>
          <t>Use the companion XML file in this deliverable for direct import into Microsoft Project.</t>
        </is>
      </c>
    </row>
    <row r="8">
      <c r="A8" s="5" t="inlineStr">
        <is>
          <t>The MSP Import sheet mirrors the same task hierarchy and dates for quick reference.</t>
        </is>
      </c>
    </row>
    <row r="9">
      <c r="A9" s="5" t="n"/>
    </row>
    <row r="10" ht="24" customHeight="1">
      <c r="A10" s="27" t="inlineStr">
        <is>
          <t>Scheduling assumptions:</t>
        </is>
      </c>
    </row>
    <row r="11">
      <c r="A11" s="5" t="inlineStr">
        <is>
          <t>Plan start = Mar 30, 2026.</t>
        </is>
      </c>
    </row>
    <row r="12">
      <c r="A12" s="5" t="inlineStr">
        <is>
          <t>Week 1..5 map to Monday-start / Friday-target weekly buckets.</t>
        </is>
      </c>
    </row>
    <row r="13">
      <c r="A13" s="5" t="inlineStr">
        <is>
          <t>Each detailed task is set to a 5-day window for import simplicity.</t>
        </is>
      </c>
    </row>
    <row r="14">
      <c r="A14" s="5" t="n"/>
    </row>
    <row r="15" ht="24" customHeight="1">
      <c r="A15" s="27" t="inlineStr">
        <is>
          <t>Status update — July 23, 2026</t>
        </is>
      </c>
    </row>
    <row r="16" ht="54" customHeight="1">
      <c r="A16" s="28" t="inlineStr">
        <is>
          <t>Only tasks with direct GitHub PR, test, CI, or runbook evidence were marked Done. Broad security, workflow, project-boundary, backup/recovery, and full end-to-end readiness items remain open until their complete acceptance criteria are proven.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2026-07-24T19:36:28Z</dcterms:created>
  <dcterms:modified xsi:type="dcterms:W3CDTF">2026-07-26T04:25:13Z</dcterms:modified>
  <cp:lastModifiedBy>Nicholas Lortz</cp:lastModifiedBy>
</cp:coreProperties>
</file>