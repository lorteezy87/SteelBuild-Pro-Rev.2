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Job List" sheetId="3" state="visible" r:id="rId5"/>
    <sheet name="RFI Log" sheetId="4" state="visible" r:id="rId6"/>
    <sheet name="Submittal Log" sheetId="5" state="visible" r:id="rId7"/>
    <sheet name="Change Order Log" sheetId="6" state="visible" r:id="rId8"/>
    <sheet name="Schedule-Lookahead" sheetId="7" state="visible" r:id="rId9"/>
    <sheet name="Punch List" sheetId="8" state="visible" r:id="rId10"/>
    <sheet name="Fabrication Tracking" sheetId="9" state="visible" r:id="rId11"/>
  </sheets>
  <definedNames>
    <definedName function="false" hidden="true" localSheetId="5" name="_xlnm._FilterDatabase" vbProcedure="false">'Change Order Log'!$A$1:$K$301</definedName>
    <definedName function="false" hidden="true" localSheetId="8" name="_xlnm._FilterDatabase" vbProcedure="false">'Fabrication Tracking'!$A$1:$H$301</definedName>
    <definedName function="false" hidden="true" localSheetId="7" name="_xlnm._FilterDatabase" vbProcedure="false">'Punch List'!$A$1:$K$301</definedName>
    <definedName function="false" hidden="true" localSheetId="3" name="_xlnm._FilterDatabase" vbProcedure="false">'RFI Log'!$A$1:$M$301</definedName>
    <definedName function="false" hidden="true" localSheetId="6" name="_xlnm._FilterDatabase" vbProcedure="false">'Schedule-Lookahead'!$A$1:$I$301</definedName>
    <definedName function="false" hidden="true" localSheetId="4" name="_xlnm._FilterDatabase" vbProcedure="false">'Submittal Log'!$A$1:$K$301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<sst xmlns="http://schemas.openxmlformats.org/spreadsheetml/2006/main" count="135" uniqueCount="106">
  <si>
    <t xml:space="preserve">S&amp;H Steel - Nick Lortz Project Tracker</t>
  </si>
  <si>
    <t xml:space="preserve">Structure only - no project data loaded yet. Populate the log tabs directly.</t>
  </si>
  <si>
    <t xml:space="preserve">TABS IN THIS WORKBOOK</t>
  </si>
  <si>
    <t xml:space="preserve">Summary  -  Live dashboard rolled up by job. Pulls from every log tab by formula - do not type values directly into this tab.</t>
  </si>
  <si>
    <t xml:space="preserve">Job List  -  Master list of active jobs. This is the dropdown source for the Job Name column on every log tab. Add a job here first if it's missing, and it will show up as a dropdown choice everywhere.</t>
  </si>
  <si>
    <t xml:space="preserve">RFI Log  -  One row per RFI, open or closed.</t>
  </si>
  <si>
    <t xml:space="preserve">Submittal Log  -  One row per submittal package (shop/erection drawings, product data, etc.).</t>
  </si>
  <si>
    <t xml:space="preserve">Change Order Log  -  One row per CO / COR / SCO.</t>
  </si>
  <si>
    <t xml:space="preserve">Schedule-Lookahead  -  Schedule activities, tagged by lookahead type (48-Hour, 10-Day, 3-Week, 6-Week, or General). Use the Roadblock / Issue column to flag anything blocking progress - it feeds the Summary tab's Roadblocks count.</t>
  </si>
  <si>
    <t xml:space="preserve">Punch List  -  Closeout deficiency items.</t>
  </si>
  <si>
    <t xml:space="preserve">Fabrication Tracking  -  Shop status per piece mark / package.</t>
  </si>
  <si>
    <t xml:space="preserve">HOW TO USE</t>
  </si>
  <si>
    <t xml:space="preserve">1. Add/confirm your active jobs on the Job List tab first (Job Name + Job #).</t>
  </si>
  <si>
    <t xml:space="preserve">2. Enter data starting in row 2 of each log tab. Every tab has ~300 pre-formatted rows with dropdowns and formulas already in place - just type into them.</t>
  </si>
  <si>
    <t xml:space="preserve">3. Job Name columns are dropdown-only (pulled from Job List) to keep job names consistent across tabs so the Summary rollup works correctly.</t>
  </si>
  <si>
    <t xml:space="preserve">4. Status / Stage / Category columns are dropdown-only for the same reason. If you need an option that isn't listed, add it to the dropdown list (Data &gt; Data Validation) rather than typing free text - free text will not be picked up by the Summary formulas.</t>
  </si>
  <si>
    <t xml:space="preserve">5. Days Open, Overdue?, and Days Pending columns are formulas - do not type over them. They calculate automatically from your dates.</t>
  </si>
  <si>
    <t xml:space="preserve">6. Dates should be entered as actual dates (not text) so the day-count formulas work: mm/dd/yyyy.</t>
  </si>
  <si>
    <t xml:space="preserve">7. Leave a field blank rather than guessing if you don't have the information yet - blank is treated correctly by the formulas; a guess is not.</t>
  </si>
  <si>
    <t xml:space="preserve">8. The Summary tab currently shows all zeros - that's expected on an empty tracker. It will populate as soon as rows are added to the log tabs.</t>
  </si>
  <si>
    <t xml:space="preserve">COLUMN NOTES</t>
  </si>
  <si>
    <t xml:space="preserve">RFI Log - "Overdue?" flags any RFI still marked Open past its Response Due date.</t>
  </si>
  <si>
    <t xml:space="preserve">Submittal Log - "Overdue?" flags any submittal with no Date Returned past its Due Date.</t>
  </si>
  <si>
    <t xml:space="preserve">Change Order Log - "Days Pending" runs from Date Submitted until Date Approved (or today, if still pending).</t>
  </si>
  <si>
    <t xml:space="preserve">Schedule-Lookahead - log the same activity again in a new row each time you re-issue a lookahead (e.g., every week's 6-Week Lookahead) rather than editing the old row, so history is preserved.</t>
  </si>
  <si>
    <t xml:space="preserve">Punch List - "Days Open" runs from Date Identified until Date Closed (or today, if still open).</t>
  </si>
  <si>
    <t xml:space="preserve">Summary Dashboard  |  All figures pull live from the log tabs via formula</t>
  </si>
  <si>
    <t xml:space="preserve">Job Name</t>
  </si>
  <si>
    <t xml:space="preserve">Job #</t>
  </si>
  <si>
    <t xml:space="preserve">Open RFIs</t>
  </si>
  <si>
    <t xml:space="preserve">Overdue RFIs</t>
  </si>
  <si>
    <t xml:space="preserve">Open Submittals</t>
  </si>
  <si>
    <t xml:space="preserve">Overdue Submittals</t>
  </si>
  <si>
    <t xml:space="preserve">Pending COs</t>
  </si>
  <si>
    <t xml:space="preserve">Pending CO $</t>
  </si>
  <si>
    <t xml:space="preserve">Open Punch Items</t>
  </si>
  <si>
    <t xml:space="preserve">Roadblocks Flagged</t>
  </si>
  <si>
    <t xml:space="preserve">TOTAL</t>
  </si>
  <si>
    <t xml:space="preserve">All zeros above are expected until the log tabs are populated with real project data.</t>
  </si>
  <si>
    <t xml:space="preserve">Nick - TSMC Shade Structure - 26230 - JR</t>
  </si>
  <si>
    <t xml:space="preserve">26230</t>
  </si>
  <si>
    <t xml:space="preserve">Nick - ALA Buckeye Phys. Ed Building - 25645 - JR</t>
  </si>
  <si>
    <t xml:space="preserve">25645</t>
  </si>
  <si>
    <t xml:space="preserve">Nick - BIMC ED Expansion - 26179 - NA</t>
  </si>
  <si>
    <t xml:space="preserve">26179</t>
  </si>
  <si>
    <t xml:space="preserve">Nick - Medina Station Phase 2 - 25372 - MC</t>
  </si>
  <si>
    <t xml:space="preserve">25372</t>
  </si>
  <si>
    <t xml:space="preserve">Nick - ALA - Apache Junction - 25116 - MC</t>
  </si>
  <si>
    <t xml:space="preserve">25116</t>
  </si>
  <si>
    <t xml:space="preserve">Nick - ASM Garage - 25395 - NA</t>
  </si>
  <si>
    <t xml:space="preserve">25395</t>
  </si>
  <si>
    <t xml:space="preserve">Nick - ALA Aloravita - 26274 - JR</t>
  </si>
  <si>
    <t xml:space="preserve">26274</t>
  </si>
  <si>
    <t xml:space="preserve">Nick - Capstone Tucson Student Housing - 24426 - JR</t>
  </si>
  <si>
    <t xml:space="preserve">24426</t>
  </si>
  <si>
    <t xml:space="preserve">Nick - ALA AJ Seminary Building - 25443</t>
  </si>
  <si>
    <t xml:space="preserve">25443</t>
  </si>
  <si>
    <t xml:space="preserve">Nick - ALA Casa Grande - 25599</t>
  </si>
  <si>
    <t xml:space="preserve">25599</t>
  </si>
  <si>
    <t xml:space="preserve">Nick - ALA Casa Grande Field House and Classrooms - 25582</t>
  </si>
  <si>
    <t xml:space="preserve">25582</t>
  </si>
  <si>
    <t xml:space="preserve">Nick - Crosswalk Church - 24520</t>
  </si>
  <si>
    <t xml:space="preserve">24520</t>
  </si>
  <si>
    <t xml:space="preserve">Nick - ADOT Tucson MVD Renovation - 24463 - JR</t>
  </si>
  <si>
    <t xml:space="preserve">24463</t>
  </si>
  <si>
    <t xml:space="preserve">Nick - Academy MS Mesa - 25421 - NA</t>
  </si>
  <si>
    <t xml:space="preserve">25421</t>
  </si>
  <si>
    <t xml:space="preserve">Nick - Skyport at Redfield - 25531 - NA</t>
  </si>
  <si>
    <t xml:space="preserve">25531</t>
  </si>
  <si>
    <t xml:space="preserve">RFI #</t>
  </si>
  <si>
    <t xml:space="preserve">Subject</t>
  </si>
  <si>
    <t xml:space="preserve">Date Submitted</t>
  </si>
  <si>
    <t xml:space="preserve">Response Due</t>
  </si>
  <si>
    <t xml:space="preserve">Date Answered</t>
  </si>
  <si>
    <t xml:space="preserve">Days Open</t>
  </si>
  <si>
    <t xml:space="preserve">Status</t>
  </si>
  <si>
    <t xml:space="preserve">Sent To</t>
  </si>
  <si>
    <t xml:space="preserve">Answer Summary</t>
  </si>
  <si>
    <t xml:space="preserve">Overdue?</t>
  </si>
  <si>
    <t xml:space="preserve">Notes</t>
  </si>
  <si>
    <t xml:space="preserve">Package / Item</t>
  </si>
  <si>
    <t xml:space="preserve">Stage</t>
  </si>
  <si>
    <t xml:space="preserve">Date Sent</t>
  </si>
  <si>
    <t xml:space="preserve">Due Date</t>
  </si>
  <si>
    <t xml:space="preserve">Date Returned</t>
  </si>
  <si>
    <t xml:space="preserve">CO / COR #</t>
  </si>
  <si>
    <t xml:space="preserve">Description</t>
  </si>
  <si>
    <t xml:space="preserve">Date Approved</t>
  </si>
  <si>
    <t xml:space="preserve">Amount</t>
  </si>
  <si>
    <t xml:space="preserve">Schedule Impact (days)</t>
  </si>
  <si>
    <t xml:space="preserve">Days Pending</t>
  </si>
  <si>
    <t xml:space="preserve">Activity</t>
  </si>
  <si>
    <t xml:space="preserve">Lookahead Type</t>
  </si>
  <si>
    <t xml:space="preserve">Planned Start</t>
  </si>
  <si>
    <t xml:space="preserve">Planned Finish</t>
  </si>
  <si>
    <t xml:space="preserve">Roadblock / Issue</t>
  </si>
  <si>
    <t xml:space="preserve">Item #</t>
  </si>
  <si>
    <t xml:space="preserve">Location</t>
  </si>
  <si>
    <t xml:space="preserve">Date Identified</t>
  </si>
  <si>
    <t xml:space="preserve">Responsible Party</t>
  </si>
  <si>
    <t xml:space="preserve">Date Closed</t>
  </si>
  <si>
    <t xml:space="preserve">Piece Mark / Package</t>
  </si>
  <si>
    <t xml:space="preserve">Shop Status</t>
  </si>
  <si>
    <t xml:space="preserve">Date Released to Fab</t>
  </si>
  <si>
    <t xml:space="preserve">Date Complete</t>
  </si>
  <si>
    <t xml:space="preserve">Date Shipped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</si>
</sst>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$#,##0.00;&quot;($&quot;#,##0.00\);\-"/>
    <numFmt numFmtId="167" formatCode="mm/dd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23.85" hidden="false" customHeight="false" outlineLevel="0" collapsed="false">
      <c r="A6" s="4" t="s">
        <v>3</v>
      </c>
    </row>
    <row r="7" customFormat="false" ht="23.85" hidden="false" customHeight="false" outlineLevel="0" collapsed="false">
      <c r="A7" s="4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 t="s">
        <v>7</v>
      </c>
    </row>
    <row r="11" customFormat="false" ht="35.0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5" customFormat="false" ht="15" hidden="false" customHeight="false" outlineLevel="0" collapsed="false">
      <c r="A15" s="3" t="s">
        <v>11</v>
      </c>
    </row>
    <row r="17" customFormat="false" ht="15" hidden="false" customHeight="false" outlineLevel="0" collapsed="false">
      <c r="A17" s="4" t="s">
        <v>12</v>
      </c>
    </row>
    <row r="18" customFormat="false" ht="23.85" hidden="false" customHeight="false" outlineLevel="0" collapsed="false">
      <c r="A18" s="4" t="s">
        <v>13</v>
      </c>
    </row>
    <row r="19" customFormat="false" ht="23.85" hidden="false" customHeight="false" outlineLevel="0" collapsed="false">
      <c r="A19" s="4" t="s">
        <v>14</v>
      </c>
    </row>
    <row r="20" customFormat="false" ht="35.05" hidden="false" customHeight="false" outlineLevel="0" collapsed="false">
      <c r="A20" s="4" t="s">
        <v>15</v>
      </c>
    </row>
    <row r="21" customFormat="false" ht="23.8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4" t="s">
        <v>17</v>
      </c>
    </row>
    <row r="23" customFormat="false" ht="23.85" hidden="false" customHeight="false" outlineLevel="0" collapsed="false">
      <c r="A23" s="4" t="s">
        <v>18</v>
      </c>
    </row>
    <row r="24" customFormat="false" ht="23.85" hidden="false" customHeight="false" outlineLevel="0" collapsed="false">
      <c r="A24" s="4" t="s">
        <v>19</v>
      </c>
    </row>
    <row r="26" customFormat="false" ht="15" hidden="false" customHeight="false" outlineLevel="0" collapsed="false">
      <c r="A26" s="3" t="s">
        <v>20</v>
      </c>
    </row>
    <row r="28" customFormat="false" ht="15" hidden="false" customHeight="false" outlineLevel="0" collapsed="false">
      <c r="A28" s="4" t="s">
        <v>21</v>
      </c>
    </row>
    <row r="29" customFormat="false" ht="15" hidden="false" customHeight="false" outlineLevel="0" collapsed="false">
      <c r="A29" s="4" t="s">
        <v>22</v>
      </c>
    </row>
    <row r="30" customFormat="false" ht="15" hidden="false" customHeight="false" outlineLevel="0" collapsed="false">
      <c r="A30" s="4" t="s">
        <v>23</v>
      </c>
    </row>
    <row r="31" customFormat="false" ht="23.85" hidden="false" customHeight="false" outlineLevel="0" collapsed="false">
      <c r="A31" s="4" t="s">
        <v>24</v>
      </c>
    </row>
    <row r="32" customFormat="false" ht="15" hidden="false" customHeight="false" outlineLevel="0" collapsed="false">
      <c r="A32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9" min="8" style="0" width="13"/>
    <col collapsed="false" customWidth="true" hidden="false" outlineLevel="0" max="10" min="10" style="0" width="14"/>
  </cols>
  <sheetData>
    <row r="1" customFormat="false" ht="19.7" hidden="false" customHeight="fals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customFormat="false" ht="15" hidden="false" customHeight="false" outlineLevel="0" collapsed="false">
      <c r="A2" s="6" t="s">
        <v>26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customFormat="false" ht="30" hidden="false" customHeight="true" outlineLevel="0" collapsed="false">
      <c r="A4" s="7" t="s">
        <v>27</v>
      </c>
      <c r="B4" s="7" t="s">
        <v>28</v>
      </c>
      <c r="C4" s="7" t="s">
        <v>29</v>
      </c>
      <c r="D4" s="7" t="s">
        <v>30</v>
      </c>
      <c r="E4" s="7" t="s">
        <v>31</v>
      </c>
      <c r="F4" s="7" t="s">
        <v>32</v>
      </c>
      <c r="G4" s="7" t="s">
        <v>33</v>
      </c>
      <c r="H4" s="7" t="s">
        <v>34</v>
      </c>
      <c r="I4" s="7" t="s">
        <v>35</v>
      </c>
      <c r="J4" s="7" t="s">
        <v>36</v>
      </c>
    </row>
    <row r="5" customFormat="false" ht="15" hidden="false" customHeight="false" outlineLevel="0" collapsed="false">
      <c r="A5" s="8" t="str">
        <f aca="false">'Job List'!A2</f>
        <v>Nick - TSMC Shade Structure - 26230 - JR</v>
      </c>
      <c r="B5" s="8" t="str">
        <f aca="false">'Job List'!B2</f>
        <v>26230</v>
      </c>
      <c r="C5" s="9" t="n">
        <f aca="false">COUNTIFS('RFI Log'!$A$2:$A$301,$A5,'RFI Log'!$I$2:$I$301,"Open")</f>
        <v>0</v>
      </c>
      <c r="D5" s="9" t="n">
        <f aca="false">COUNTIFS('RFI Log'!$A$2:$A$301,$A5,'RFI Log'!$L$2:$L$301,"OVERDUE")</f>
        <v>0</v>
      </c>
      <c r="E5" s="9" t="n">
        <f aca="false">COUNTIFS('Submittal Log'!$A$2:$A$301,$A5,'Submittal Log'!$G$2:$G$301,"")-COUNTIFS('Submittal Log'!$A$2:$A$301,$A5,'Submittal Log'!$C$2:$C$301,"")</f>
        <v>0</v>
      </c>
      <c r="F5" s="9" t="n">
        <f aca="false">COUNTIFS('Submittal Log'!$A$2:$A$301,$A5,'Submittal Log'!$I$2:$I$301,"OVERDUE")</f>
        <v>0</v>
      </c>
      <c r="G5" s="9" t="n">
        <f aca="false">COUNTIFS('Change Order Log'!$A$2:$A$301,$A5,'Change Order Log'!$G$2:$G$301,"Pending")+COUNTIFS('Change Order Log'!$A$2:$A$301,$A5,'Change Order Log'!$G$2:$G$301,"Submitted")</f>
        <v>0</v>
      </c>
      <c r="H5" s="10" t="n">
        <f aca="false">SUMIFS('Change Order Log'!$H$2:$H$301,'Change Order Log'!$A$2:$A$301,$A5,'Change Order Log'!$G$2:$G$301,"Pending")+SUMIFS('Change Order Log'!$H$2:$H$301,'Change Order Log'!$A$2:$A$301,$A5,'Change Order Log'!$G$2:$G$301,"Submitted")</f>
        <v>0</v>
      </c>
      <c r="I5" s="9" t="n">
        <f aca="false">COUNTIFS('Punch List'!$A$2:$A$301,$A5,'Punch List'!$H$2:$H$301,"Open")+COUNTIFS('Punch List'!$A$2:$A$301,$A5,'Punch List'!$H$2:$H$301,"In Progress")</f>
        <v>0</v>
      </c>
      <c r="J5" s="9" t="n">
        <f aca="false">COUNTIFS('Schedule-Lookahead'!$A$2:$A$301,$A5,'Schedule-Lookahead'!$H$2:$H$301,"&lt;&gt;")</f>
        <v>0</v>
      </c>
    </row>
    <row r="6" customFormat="false" ht="15" hidden="false" customHeight="false" outlineLevel="0" collapsed="false">
      <c r="A6" s="8" t="str">
        <f aca="false">'Job List'!A3</f>
        <v>Nick - ALA Buckeye Phys. Ed Building - 25645 - JR</v>
      </c>
      <c r="B6" s="8" t="str">
        <f aca="false">'Job List'!B3</f>
        <v>25645</v>
      </c>
      <c r="C6" s="9" t="n">
        <f aca="false">COUNTIFS('RFI Log'!$A$2:$A$301,$A6,'RFI Log'!$I$2:$I$301,"Open")</f>
        <v>0</v>
      </c>
      <c r="D6" s="9" t="n">
        <f aca="false">COUNTIFS('RFI Log'!$A$2:$A$301,$A6,'RFI Log'!$L$2:$L$301,"OVERDUE")</f>
        <v>0</v>
      </c>
      <c r="E6" s="9" t="n">
        <f aca="false">COUNTIFS('Submittal Log'!$A$2:$A$301,$A6,'Submittal Log'!$G$2:$G$301,"")-COUNTIFS('Submittal Log'!$A$2:$A$301,$A6,'Submittal Log'!$C$2:$C$301,"")</f>
        <v>0</v>
      </c>
      <c r="F6" s="9" t="n">
        <f aca="false">COUNTIFS('Submittal Log'!$A$2:$A$301,$A6,'Submittal Log'!$I$2:$I$301,"OVERDUE")</f>
        <v>0</v>
      </c>
      <c r="G6" s="9" t="n">
        <f aca="false">COUNTIFS('Change Order Log'!$A$2:$A$301,$A6,'Change Order Log'!$G$2:$G$301,"Pending")+COUNTIFS('Change Order Log'!$A$2:$A$301,$A6,'Change Order Log'!$G$2:$G$301,"Submitted")</f>
        <v>0</v>
      </c>
      <c r="H6" s="10" t="n">
        <f aca="false">SUMIFS('Change Order Log'!$H$2:$H$301,'Change Order Log'!$A$2:$A$301,$A6,'Change Order Log'!$G$2:$G$301,"Pending")+SUMIFS('Change Order Log'!$H$2:$H$301,'Change Order Log'!$A$2:$A$301,$A6,'Change Order Log'!$G$2:$G$301,"Submitted")</f>
        <v>0</v>
      </c>
      <c r="I6" s="9" t="n">
        <f aca="false">COUNTIFS('Punch List'!$A$2:$A$301,$A6,'Punch List'!$H$2:$H$301,"Open")+COUNTIFS('Punch List'!$A$2:$A$301,$A6,'Punch List'!$H$2:$H$301,"In Progress")</f>
        <v>0</v>
      </c>
      <c r="J6" s="9" t="n">
        <f aca="false">COUNTIFS('Schedule-Lookahead'!$A$2:$A$301,$A6,'Schedule-Lookahead'!$H$2:$H$301,"&lt;&gt;")</f>
        <v>0</v>
      </c>
    </row>
    <row r="7" customFormat="false" ht="15" hidden="false" customHeight="false" outlineLevel="0" collapsed="false">
      <c r="A7" s="8" t="str">
        <f aca="false">'Job List'!A4</f>
        <v>Nick - BIMC ED Expansion - 26179 - NA</v>
      </c>
      <c r="B7" s="8" t="str">
        <f aca="false">'Job List'!B4</f>
        <v>26179</v>
      </c>
      <c r="C7" s="9" t="n">
        <f aca="false">COUNTIFS('RFI Log'!$A$2:$A$301,$A7,'RFI Log'!$I$2:$I$301,"Open")</f>
        <v>0</v>
      </c>
      <c r="D7" s="9" t="n">
        <f aca="false">COUNTIFS('RFI Log'!$A$2:$A$301,$A7,'RFI Log'!$L$2:$L$301,"OVERDUE")</f>
        <v>0</v>
      </c>
      <c r="E7" s="9" t="n">
        <f aca="false">COUNTIFS('Submittal Log'!$A$2:$A$301,$A7,'Submittal Log'!$G$2:$G$301,"")-COUNTIFS('Submittal Log'!$A$2:$A$301,$A7,'Submittal Log'!$C$2:$C$301,"")</f>
        <v>0</v>
      </c>
      <c r="F7" s="9" t="n">
        <f aca="false">COUNTIFS('Submittal Log'!$A$2:$A$301,$A7,'Submittal Log'!$I$2:$I$301,"OVERDUE")</f>
        <v>0</v>
      </c>
      <c r="G7" s="9" t="n">
        <f aca="false">COUNTIFS('Change Order Log'!$A$2:$A$301,$A7,'Change Order Log'!$G$2:$G$301,"Pending")+COUNTIFS('Change Order Log'!$A$2:$A$301,$A7,'Change Order Log'!$G$2:$G$301,"Submitted")</f>
        <v>0</v>
      </c>
      <c r="H7" s="10" t="n">
        <f aca="false">SUMIFS('Change Order Log'!$H$2:$H$301,'Change Order Log'!$A$2:$A$301,$A7,'Change Order Log'!$G$2:$G$301,"Pending")+SUMIFS('Change Order Log'!$H$2:$H$301,'Change Order Log'!$A$2:$A$301,$A7,'Change Order Log'!$G$2:$G$301,"Submitted")</f>
        <v>0</v>
      </c>
      <c r="I7" s="9" t="n">
        <f aca="false">COUNTIFS('Punch List'!$A$2:$A$301,$A7,'Punch List'!$H$2:$H$301,"Open")+COUNTIFS('Punch List'!$A$2:$A$301,$A7,'Punch List'!$H$2:$H$301,"In Progress")</f>
        <v>0</v>
      </c>
      <c r="J7" s="9" t="n">
        <f aca="false">COUNTIFS('Schedule-Lookahead'!$A$2:$A$301,$A7,'Schedule-Lookahead'!$H$2:$H$301,"&lt;&gt;")</f>
        <v>0</v>
      </c>
    </row>
    <row r="8" customFormat="false" ht="15" hidden="false" customHeight="false" outlineLevel="0" collapsed="false">
      <c r="A8" s="8" t="str">
        <f aca="false">'Job List'!A5</f>
        <v>Nick - Medina Station Phase 2 - 25372 - MC</v>
      </c>
      <c r="B8" s="8" t="str">
        <f aca="false">'Job List'!B5</f>
        <v>25372</v>
      </c>
      <c r="C8" s="9" t="n">
        <f aca="false">COUNTIFS('RFI Log'!$A$2:$A$301,$A8,'RFI Log'!$I$2:$I$301,"Open")</f>
        <v>0</v>
      </c>
      <c r="D8" s="9" t="n">
        <f aca="false">COUNTIFS('RFI Log'!$A$2:$A$301,$A8,'RFI Log'!$L$2:$L$301,"OVERDUE")</f>
        <v>0</v>
      </c>
      <c r="E8" s="9" t="n">
        <f aca="false">COUNTIFS('Submittal Log'!$A$2:$A$301,$A8,'Submittal Log'!$G$2:$G$301,"")-COUNTIFS('Submittal Log'!$A$2:$A$301,$A8,'Submittal Log'!$C$2:$C$301,"")</f>
        <v>0</v>
      </c>
      <c r="F8" s="9" t="n">
        <f aca="false">COUNTIFS('Submittal Log'!$A$2:$A$301,$A8,'Submittal Log'!$I$2:$I$301,"OVERDUE")</f>
        <v>0</v>
      </c>
      <c r="G8" s="9" t="n">
        <f aca="false">COUNTIFS('Change Order Log'!$A$2:$A$301,$A8,'Change Order Log'!$G$2:$G$301,"Pending")+COUNTIFS('Change Order Log'!$A$2:$A$301,$A8,'Change Order Log'!$G$2:$G$301,"Submitted")</f>
        <v>0</v>
      </c>
      <c r="H8" s="10" t="n">
        <f aca="false">SUMIFS('Change Order Log'!$H$2:$H$301,'Change Order Log'!$A$2:$A$301,$A8,'Change Order Log'!$G$2:$G$301,"Pending")+SUMIFS('Change Order Log'!$H$2:$H$301,'Change Order Log'!$A$2:$A$301,$A8,'Change Order Log'!$G$2:$G$301,"Submitted")</f>
        <v>0</v>
      </c>
      <c r="I8" s="9" t="n">
        <f aca="false">COUNTIFS('Punch List'!$A$2:$A$301,$A8,'Punch List'!$H$2:$H$301,"Open")+COUNTIFS('Punch List'!$A$2:$A$301,$A8,'Punch List'!$H$2:$H$301,"In Progress")</f>
        <v>0</v>
      </c>
      <c r="J8" s="9" t="n">
        <f aca="false">COUNTIFS('Schedule-Lookahead'!$A$2:$A$301,$A8,'Schedule-Lookahead'!$H$2:$H$301,"&lt;&gt;")</f>
        <v>0</v>
      </c>
    </row>
    <row r="9" customFormat="false" ht="15" hidden="false" customHeight="false" outlineLevel="0" collapsed="false">
      <c r="A9" s="8" t="str">
        <f aca="false">'Job List'!A6</f>
        <v>Nick - ALA - Apache Junction - 25116 - MC</v>
      </c>
      <c r="B9" s="8" t="str">
        <f aca="false">'Job List'!B6</f>
        <v>25116</v>
      </c>
      <c r="C9" s="9" t="n">
        <f aca="false">COUNTIFS('RFI Log'!$A$2:$A$301,$A9,'RFI Log'!$I$2:$I$301,"Open")</f>
        <v>0</v>
      </c>
      <c r="D9" s="9" t="n">
        <f aca="false">COUNTIFS('RFI Log'!$A$2:$A$301,$A9,'RFI Log'!$L$2:$L$301,"OVERDUE")</f>
        <v>0</v>
      </c>
      <c r="E9" s="9" t="n">
        <f aca="false">COUNTIFS('Submittal Log'!$A$2:$A$301,$A9,'Submittal Log'!$G$2:$G$301,"")-COUNTIFS('Submittal Log'!$A$2:$A$301,$A9,'Submittal Log'!$C$2:$C$301,"")</f>
        <v>0</v>
      </c>
      <c r="F9" s="9" t="n">
        <f aca="false">COUNTIFS('Submittal Log'!$A$2:$A$301,$A9,'Submittal Log'!$I$2:$I$301,"OVERDUE")</f>
        <v>0</v>
      </c>
      <c r="G9" s="9" t="n">
        <f aca="false">COUNTIFS('Change Order Log'!$A$2:$A$301,$A9,'Change Order Log'!$G$2:$G$301,"Pending")+COUNTIFS('Change Order Log'!$A$2:$A$301,$A9,'Change Order Log'!$G$2:$G$301,"Submitted")</f>
        <v>0</v>
      </c>
      <c r="H9" s="10" t="n">
        <f aca="false">SUMIFS('Change Order Log'!$H$2:$H$301,'Change Order Log'!$A$2:$A$301,$A9,'Change Order Log'!$G$2:$G$301,"Pending")+SUMIFS('Change Order Log'!$H$2:$H$301,'Change Order Log'!$A$2:$A$301,$A9,'Change Order Log'!$G$2:$G$301,"Submitted")</f>
        <v>0</v>
      </c>
      <c r="I9" s="9" t="n">
        <f aca="false">COUNTIFS('Punch List'!$A$2:$A$301,$A9,'Punch List'!$H$2:$H$301,"Open")+COUNTIFS('Punch List'!$A$2:$A$301,$A9,'Punch List'!$H$2:$H$301,"In Progress")</f>
        <v>0</v>
      </c>
      <c r="J9" s="9" t="n">
        <f aca="false">COUNTIFS('Schedule-Lookahead'!$A$2:$A$301,$A9,'Schedule-Lookahead'!$H$2:$H$301,"&lt;&gt;")</f>
        <v>0</v>
      </c>
    </row>
    <row r="10" customFormat="false" ht="15" hidden="false" customHeight="false" outlineLevel="0" collapsed="false">
      <c r="A10" s="8" t="str">
        <f aca="false">'Job List'!A7</f>
        <v>Nick - ASM Garage - 25395 - NA</v>
      </c>
      <c r="B10" s="8" t="str">
        <f aca="false">'Job List'!B7</f>
        <v>25395</v>
      </c>
      <c r="C10" s="9" t="n">
        <f aca="false">COUNTIFS('RFI Log'!$A$2:$A$301,$A10,'RFI Log'!$I$2:$I$301,"Open")</f>
        <v>0</v>
      </c>
      <c r="D10" s="9" t="n">
        <f aca="false">COUNTIFS('RFI Log'!$A$2:$A$301,$A10,'RFI Log'!$L$2:$L$301,"OVERDUE")</f>
        <v>0</v>
      </c>
      <c r="E10" s="9" t="n">
        <f aca="false">COUNTIFS('Submittal Log'!$A$2:$A$301,$A10,'Submittal Log'!$G$2:$G$301,"")-COUNTIFS('Submittal Log'!$A$2:$A$301,$A10,'Submittal Log'!$C$2:$C$301,"")</f>
        <v>0</v>
      </c>
      <c r="F10" s="9" t="n">
        <f aca="false">COUNTIFS('Submittal Log'!$A$2:$A$301,$A10,'Submittal Log'!$I$2:$I$301,"OVERDUE")</f>
        <v>0</v>
      </c>
      <c r="G10" s="9" t="n">
        <f aca="false">COUNTIFS('Change Order Log'!$A$2:$A$301,$A10,'Change Order Log'!$G$2:$G$301,"Pending")+COUNTIFS('Change Order Log'!$A$2:$A$301,$A10,'Change Order Log'!$G$2:$G$301,"Submitted")</f>
        <v>0</v>
      </c>
      <c r="H10" s="10" t="n">
        <f aca="false">SUMIFS('Change Order Log'!$H$2:$H$301,'Change Order Log'!$A$2:$A$301,$A10,'Change Order Log'!$G$2:$G$301,"Pending")+SUMIFS('Change Order Log'!$H$2:$H$301,'Change Order Log'!$A$2:$A$301,$A10,'Change Order Log'!$G$2:$G$301,"Submitted")</f>
        <v>0</v>
      </c>
      <c r="I10" s="9" t="n">
        <f aca="false">COUNTIFS('Punch List'!$A$2:$A$301,$A10,'Punch List'!$H$2:$H$301,"Open")+COUNTIFS('Punch List'!$A$2:$A$301,$A10,'Punch List'!$H$2:$H$301,"In Progress")</f>
        <v>0</v>
      </c>
      <c r="J10" s="9" t="n">
        <f aca="false">COUNTIFS('Schedule-Lookahead'!$A$2:$A$301,$A10,'Schedule-Lookahead'!$H$2:$H$301,"&lt;&gt;")</f>
        <v>0</v>
      </c>
    </row>
    <row r="11" customFormat="false" ht="15" hidden="false" customHeight="false" outlineLevel="0" collapsed="false">
      <c r="A11" s="8" t="str">
        <f aca="false">'Job List'!A8</f>
        <v>Nick - ALA Aloravita - 26274 - JR</v>
      </c>
      <c r="B11" s="8" t="str">
        <f aca="false">'Job List'!B8</f>
        <v>26274</v>
      </c>
      <c r="C11" s="9" t="n">
        <f aca="false">COUNTIFS('RFI Log'!$A$2:$A$301,$A11,'RFI Log'!$I$2:$I$301,"Open")</f>
        <v>0</v>
      </c>
      <c r="D11" s="9" t="n">
        <f aca="false">COUNTIFS('RFI Log'!$A$2:$A$301,$A11,'RFI Log'!$L$2:$L$301,"OVERDUE")</f>
        <v>0</v>
      </c>
      <c r="E11" s="9" t="n">
        <f aca="false">COUNTIFS('Submittal Log'!$A$2:$A$301,$A11,'Submittal Log'!$G$2:$G$301,"")-COUNTIFS('Submittal Log'!$A$2:$A$301,$A11,'Submittal Log'!$C$2:$C$301,"")</f>
        <v>0</v>
      </c>
      <c r="F11" s="9" t="n">
        <f aca="false">COUNTIFS('Submittal Log'!$A$2:$A$301,$A11,'Submittal Log'!$I$2:$I$301,"OVERDUE")</f>
        <v>0</v>
      </c>
      <c r="G11" s="9" t="n">
        <f aca="false">COUNTIFS('Change Order Log'!$A$2:$A$301,$A11,'Change Order Log'!$G$2:$G$301,"Pending")+COUNTIFS('Change Order Log'!$A$2:$A$301,$A11,'Change Order Log'!$G$2:$G$301,"Submitted")</f>
        <v>0</v>
      </c>
      <c r="H11" s="10" t="n">
        <f aca="false">SUMIFS('Change Order Log'!$H$2:$H$301,'Change Order Log'!$A$2:$A$301,$A11,'Change Order Log'!$G$2:$G$301,"Pending")+SUMIFS('Change Order Log'!$H$2:$H$301,'Change Order Log'!$A$2:$A$301,$A11,'Change Order Log'!$G$2:$G$301,"Submitted")</f>
        <v>0</v>
      </c>
      <c r="I11" s="9" t="n">
        <f aca="false">COUNTIFS('Punch List'!$A$2:$A$301,$A11,'Punch List'!$H$2:$H$301,"Open")+COUNTIFS('Punch List'!$A$2:$A$301,$A11,'Punch List'!$H$2:$H$301,"In Progress")</f>
        <v>0</v>
      </c>
      <c r="J11" s="9" t="n">
        <f aca="false">COUNTIFS('Schedule-Lookahead'!$A$2:$A$301,$A11,'Schedule-Lookahead'!$H$2:$H$301,"&lt;&gt;")</f>
        <v>0</v>
      </c>
    </row>
    <row r="12" customFormat="false" ht="15" hidden="false" customHeight="false" outlineLevel="0" collapsed="false">
      <c r="A12" s="8" t="str">
        <f aca="false">'Job List'!A9</f>
        <v>Nick - Capstone Tucson Student Housing - 24426 - JR</v>
      </c>
      <c r="B12" s="8" t="str">
        <f aca="false">'Job List'!B9</f>
        <v>24426</v>
      </c>
      <c r="C12" s="9" t="n">
        <f aca="false">COUNTIFS('RFI Log'!$A$2:$A$301,$A12,'RFI Log'!$I$2:$I$301,"Open")</f>
        <v>0</v>
      </c>
      <c r="D12" s="9" t="n">
        <f aca="false">COUNTIFS('RFI Log'!$A$2:$A$301,$A12,'RFI Log'!$L$2:$L$301,"OVERDUE")</f>
        <v>0</v>
      </c>
      <c r="E12" s="9" t="n">
        <f aca="false">COUNTIFS('Submittal Log'!$A$2:$A$301,$A12,'Submittal Log'!$G$2:$G$301,"")-COUNTIFS('Submittal Log'!$A$2:$A$301,$A12,'Submittal Log'!$C$2:$C$301,"")</f>
        <v>0</v>
      </c>
      <c r="F12" s="9" t="n">
        <f aca="false">COUNTIFS('Submittal Log'!$A$2:$A$301,$A12,'Submittal Log'!$I$2:$I$301,"OVERDUE")</f>
        <v>0</v>
      </c>
      <c r="G12" s="9" t="n">
        <f aca="false">COUNTIFS('Change Order Log'!$A$2:$A$301,$A12,'Change Order Log'!$G$2:$G$301,"Pending")+COUNTIFS('Change Order Log'!$A$2:$A$301,$A12,'Change Order Log'!$G$2:$G$301,"Submitted")</f>
        <v>0</v>
      </c>
      <c r="H12" s="10" t="n">
        <f aca="false">SUMIFS('Change Order Log'!$H$2:$H$301,'Change Order Log'!$A$2:$A$301,$A12,'Change Order Log'!$G$2:$G$301,"Pending")+SUMIFS('Change Order Log'!$H$2:$H$301,'Change Order Log'!$A$2:$A$301,$A12,'Change Order Log'!$G$2:$G$301,"Submitted")</f>
        <v>0</v>
      </c>
      <c r="I12" s="9" t="n">
        <f aca="false">COUNTIFS('Punch List'!$A$2:$A$301,$A12,'Punch List'!$H$2:$H$301,"Open")+COUNTIFS('Punch List'!$A$2:$A$301,$A12,'Punch List'!$H$2:$H$301,"In Progress")</f>
        <v>0</v>
      </c>
      <c r="J12" s="9" t="n">
        <f aca="false">COUNTIFS('Schedule-Lookahead'!$A$2:$A$301,$A12,'Schedule-Lookahead'!$H$2:$H$301,"&lt;&gt;")</f>
        <v>0</v>
      </c>
    </row>
    <row r="13" customFormat="false" ht="15" hidden="false" customHeight="false" outlineLevel="0" collapsed="false">
      <c r="A13" s="8" t="str">
        <f aca="false">'Job List'!A10</f>
        <v>Nick - ALA AJ Seminary Building - 25443</v>
      </c>
      <c r="B13" s="8" t="str">
        <f aca="false">'Job List'!B10</f>
        <v>25443</v>
      </c>
      <c r="C13" s="9" t="n">
        <f aca="false">COUNTIFS('RFI Log'!$A$2:$A$301,$A13,'RFI Log'!$I$2:$I$301,"Open")</f>
        <v>0</v>
      </c>
      <c r="D13" s="9" t="n">
        <f aca="false">COUNTIFS('RFI Log'!$A$2:$A$301,$A13,'RFI Log'!$L$2:$L$301,"OVERDUE")</f>
        <v>0</v>
      </c>
      <c r="E13" s="9" t="n">
        <f aca="false">COUNTIFS('Submittal Log'!$A$2:$A$301,$A13,'Submittal Log'!$G$2:$G$301,"")-COUNTIFS('Submittal Log'!$A$2:$A$301,$A13,'Submittal Log'!$C$2:$C$301,"")</f>
        <v>0</v>
      </c>
      <c r="F13" s="9" t="n">
        <f aca="false">COUNTIFS('Submittal Log'!$A$2:$A$301,$A13,'Submittal Log'!$I$2:$I$301,"OVERDUE")</f>
        <v>0</v>
      </c>
      <c r="G13" s="9" t="n">
        <f aca="false">COUNTIFS('Change Order Log'!$A$2:$A$301,$A13,'Change Order Log'!$G$2:$G$301,"Pending")+COUNTIFS('Change Order Log'!$A$2:$A$301,$A13,'Change Order Log'!$G$2:$G$301,"Submitted")</f>
        <v>0</v>
      </c>
      <c r="H13" s="10" t="n">
        <f aca="false">SUMIFS('Change Order Log'!$H$2:$H$301,'Change Order Log'!$A$2:$A$301,$A13,'Change Order Log'!$G$2:$G$301,"Pending")+SUMIFS('Change Order Log'!$H$2:$H$301,'Change Order Log'!$A$2:$A$301,$A13,'Change Order Log'!$G$2:$G$301,"Submitted")</f>
        <v>0</v>
      </c>
      <c r="I13" s="9" t="n">
        <f aca="false">COUNTIFS('Punch List'!$A$2:$A$301,$A13,'Punch List'!$H$2:$H$301,"Open")+COUNTIFS('Punch List'!$A$2:$A$301,$A13,'Punch List'!$H$2:$H$301,"In Progress")</f>
        <v>0</v>
      </c>
      <c r="J13" s="9" t="n">
        <f aca="false">COUNTIFS('Schedule-Lookahead'!$A$2:$A$301,$A13,'Schedule-Lookahead'!$H$2:$H$301,"&lt;&gt;")</f>
        <v>0</v>
      </c>
    </row>
    <row r="14" customFormat="false" ht="15" hidden="false" customHeight="false" outlineLevel="0" collapsed="false">
      <c r="A14" s="8" t="str">
        <f aca="false">'Job List'!A11</f>
        <v>Nick - ALA Casa Grande - 25599</v>
      </c>
      <c r="B14" s="8" t="str">
        <f aca="false">'Job List'!B11</f>
        <v>25599</v>
      </c>
      <c r="C14" s="9" t="n">
        <f aca="false">COUNTIFS('RFI Log'!$A$2:$A$301,$A14,'RFI Log'!$I$2:$I$301,"Open")</f>
        <v>0</v>
      </c>
      <c r="D14" s="9" t="n">
        <f aca="false">COUNTIFS('RFI Log'!$A$2:$A$301,$A14,'RFI Log'!$L$2:$L$301,"OVERDUE")</f>
        <v>0</v>
      </c>
      <c r="E14" s="9" t="n">
        <f aca="false">COUNTIFS('Submittal Log'!$A$2:$A$301,$A14,'Submittal Log'!$G$2:$G$301,"")-COUNTIFS('Submittal Log'!$A$2:$A$301,$A14,'Submittal Log'!$C$2:$C$301,"")</f>
        <v>0</v>
      </c>
      <c r="F14" s="9" t="n">
        <f aca="false">COUNTIFS('Submittal Log'!$A$2:$A$301,$A14,'Submittal Log'!$I$2:$I$301,"OVERDUE")</f>
        <v>0</v>
      </c>
      <c r="G14" s="9" t="n">
        <f aca="false">COUNTIFS('Change Order Log'!$A$2:$A$301,$A14,'Change Order Log'!$G$2:$G$301,"Pending")+COUNTIFS('Change Order Log'!$A$2:$A$301,$A14,'Change Order Log'!$G$2:$G$301,"Submitted")</f>
        <v>0</v>
      </c>
      <c r="H14" s="10" t="n">
        <f aca="false">SUMIFS('Change Order Log'!$H$2:$H$301,'Change Order Log'!$A$2:$A$301,$A14,'Change Order Log'!$G$2:$G$301,"Pending")+SUMIFS('Change Order Log'!$H$2:$H$301,'Change Order Log'!$A$2:$A$301,$A14,'Change Order Log'!$G$2:$G$301,"Submitted")</f>
        <v>0</v>
      </c>
      <c r="I14" s="9" t="n">
        <f aca="false">COUNTIFS('Punch List'!$A$2:$A$301,$A14,'Punch List'!$H$2:$H$301,"Open")+COUNTIFS('Punch List'!$A$2:$A$301,$A14,'Punch List'!$H$2:$H$301,"In Progress")</f>
        <v>0</v>
      </c>
      <c r="J14" s="9" t="n">
        <f aca="false">COUNTIFS('Schedule-Lookahead'!$A$2:$A$301,$A14,'Schedule-Lookahead'!$H$2:$H$301,"&lt;&gt;")</f>
        <v>0</v>
      </c>
    </row>
    <row r="15" customFormat="false" ht="15" hidden="false" customHeight="false" outlineLevel="0" collapsed="false">
      <c r="A15" s="8" t="str">
        <f aca="false">'Job List'!A12</f>
        <v>Nick - ALA Casa Grande Field House and Classrooms - 25582</v>
      </c>
      <c r="B15" s="8" t="str">
        <f aca="false">'Job List'!B12</f>
        <v>25582</v>
      </c>
      <c r="C15" s="9" t="n">
        <f aca="false">COUNTIFS('RFI Log'!$A$2:$A$301,$A15,'RFI Log'!$I$2:$I$301,"Open")</f>
        <v>0</v>
      </c>
      <c r="D15" s="9" t="n">
        <f aca="false">COUNTIFS('RFI Log'!$A$2:$A$301,$A15,'RFI Log'!$L$2:$L$301,"OVERDUE")</f>
        <v>0</v>
      </c>
      <c r="E15" s="9" t="n">
        <f aca="false">COUNTIFS('Submittal Log'!$A$2:$A$301,$A15,'Submittal Log'!$G$2:$G$301,"")-COUNTIFS('Submittal Log'!$A$2:$A$301,$A15,'Submittal Log'!$C$2:$C$301,"")</f>
        <v>0</v>
      </c>
      <c r="F15" s="9" t="n">
        <f aca="false">COUNTIFS('Submittal Log'!$A$2:$A$301,$A15,'Submittal Log'!$I$2:$I$301,"OVERDUE")</f>
        <v>0</v>
      </c>
      <c r="G15" s="9" t="n">
        <f aca="false">COUNTIFS('Change Order Log'!$A$2:$A$301,$A15,'Change Order Log'!$G$2:$G$301,"Pending")+COUNTIFS('Change Order Log'!$A$2:$A$301,$A15,'Change Order Log'!$G$2:$G$301,"Submitted")</f>
        <v>0</v>
      </c>
      <c r="H15" s="10" t="n">
        <f aca="false">SUMIFS('Change Order Log'!$H$2:$H$301,'Change Order Log'!$A$2:$A$301,$A15,'Change Order Log'!$G$2:$G$301,"Pending")+SUMIFS('Change Order Log'!$H$2:$H$301,'Change Order Log'!$A$2:$A$301,$A15,'Change Order Log'!$G$2:$G$301,"Submitted")</f>
        <v>0</v>
      </c>
      <c r="I15" s="9" t="n">
        <f aca="false">COUNTIFS('Punch List'!$A$2:$A$301,$A15,'Punch List'!$H$2:$H$301,"Open")+COUNTIFS('Punch List'!$A$2:$A$301,$A15,'Punch List'!$H$2:$H$301,"In Progress")</f>
        <v>0</v>
      </c>
      <c r="J15" s="9" t="n">
        <f aca="false">COUNTIFS('Schedule-Lookahead'!$A$2:$A$301,$A15,'Schedule-Lookahead'!$H$2:$H$301,"&lt;&gt;")</f>
        <v>0</v>
      </c>
    </row>
    <row r="16" customFormat="false" ht="15" hidden="false" customHeight="false" outlineLevel="0" collapsed="false">
      <c r="A16" s="8" t="str">
        <f aca="false">'Job List'!A13</f>
        <v>Nick - Crosswalk Church - 24520</v>
      </c>
      <c r="B16" s="8" t="str">
        <f aca="false">'Job List'!B13</f>
        <v>24520</v>
      </c>
      <c r="C16" s="9" t="n">
        <f aca="false">COUNTIFS('RFI Log'!$A$2:$A$301,$A16,'RFI Log'!$I$2:$I$301,"Open")</f>
        <v>0</v>
      </c>
      <c r="D16" s="9" t="n">
        <f aca="false">COUNTIFS('RFI Log'!$A$2:$A$301,$A16,'RFI Log'!$L$2:$L$301,"OVERDUE")</f>
        <v>0</v>
      </c>
      <c r="E16" s="9" t="n">
        <f aca="false">COUNTIFS('Submittal Log'!$A$2:$A$301,$A16,'Submittal Log'!$G$2:$G$301,"")-COUNTIFS('Submittal Log'!$A$2:$A$301,$A16,'Submittal Log'!$C$2:$C$301,"")</f>
        <v>0</v>
      </c>
      <c r="F16" s="9" t="n">
        <f aca="false">COUNTIFS('Submittal Log'!$A$2:$A$301,$A16,'Submittal Log'!$I$2:$I$301,"OVERDUE")</f>
        <v>0</v>
      </c>
      <c r="G16" s="9" t="n">
        <f aca="false">COUNTIFS('Change Order Log'!$A$2:$A$301,$A16,'Change Order Log'!$G$2:$G$301,"Pending")+COUNTIFS('Change Order Log'!$A$2:$A$301,$A16,'Change Order Log'!$G$2:$G$301,"Submitted")</f>
        <v>0</v>
      </c>
      <c r="H16" s="10" t="n">
        <f aca="false">SUMIFS('Change Order Log'!$H$2:$H$301,'Change Order Log'!$A$2:$A$301,$A16,'Change Order Log'!$G$2:$G$301,"Pending")+SUMIFS('Change Order Log'!$H$2:$H$301,'Change Order Log'!$A$2:$A$301,$A16,'Change Order Log'!$G$2:$G$301,"Submitted")</f>
        <v>0</v>
      </c>
      <c r="I16" s="9" t="n">
        <f aca="false">COUNTIFS('Punch List'!$A$2:$A$301,$A16,'Punch List'!$H$2:$H$301,"Open")+COUNTIFS('Punch List'!$A$2:$A$301,$A16,'Punch List'!$H$2:$H$301,"In Progress")</f>
        <v>0</v>
      </c>
      <c r="J16" s="9" t="n">
        <f aca="false">COUNTIFS('Schedule-Lookahead'!$A$2:$A$301,$A16,'Schedule-Lookahead'!$H$2:$H$301,"&lt;&gt;")</f>
        <v>0</v>
      </c>
    </row>
    <row r="17" customFormat="false" ht="15" hidden="false" customHeight="false" outlineLevel="0" collapsed="false">
      <c r="A17" s="8" t="str">
        <f aca="false">'Job List'!A14</f>
        <v>Nick - ADOT Tucson MVD Renovation - 24463 - JR</v>
      </c>
      <c r="B17" s="8" t="str">
        <f aca="false">'Job List'!B14</f>
        <v>24463</v>
      </c>
      <c r="C17" s="9" t="n">
        <f aca="false">COUNTIFS('RFI Log'!$A$2:$A$301,$A17,'RFI Log'!$I$2:$I$301,"Open")</f>
        <v>0</v>
      </c>
      <c r="D17" s="9" t="n">
        <f aca="false">COUNTIFS('RFI Log'!$A$2:$A$301,$A17,'RFI Log'!$L$2:$L$301,"OVERDUE")</f>
        <v>0</v>
      </c>
      <c r="E17" s="9" t="n">
        <f aca="false">COUNTIFS('Submittal Log'!$A$2:$A$301,$A17,'Submittal Log'!$G$2:$G$301,"")-COUNTIFS('Submittal Log'!$A$2:$A$301,$A17,'Submittal Log'!$C$2:$C$301,"")</f>
        <v>0</v>
      </c>
      <c r="F17" s="9" t="n">
        <f aca="false">COUNTIFS('Submittal Log'!$A$2:$A$301,$A17,'Submittal Log'!$I$2:$I$301,"OVERDUE")</f>
        <v>0</v>
      </c>
      <c r="G17" s="9" t="n">
        <f aca="false">COUNTIFS('Change Order Log'!$A$2:$A$301,$A17,'Change Order Log'!$G$2:$G$301,"Pending")+COUNTIFS('Change Order Log'!$A$2:$A$301,$A17,'Change Order Log'!$G$2:$G$301,"Submitted")</f>
        <v>0</v>
      </c>
      <c r="H17" s="10" t="n">
        <f aca="false">SUMIFS('Change Order Log'!$H$2:$H$301,'Change Order Log'!$A$2:$A$301,$A17,'Change Order Log'!$G$2:$G$301,"Pending")+SUMIFS('Change Order Log'!$H$2:$H$301,'Change Order Log'!$A$2:$A$301,$A17,'Change Order Log'!$G$2:$G$301,"Submitted")</f>
        <v>0</v>
      </c>
      <c r="I17" s="9" t="n">
        <f aca="false">COUNTIFS('Punch List'!$A$2:$A$301,$A17,'Punch List'!$H$2:$H$301,"Open")+COUNTIFS('Punch List'!$A$2:$A$301,$A17,'Punch List'!$H$2:$H$301,"In Progress")</f>
        <v>0</v>
      </c>
      <c r="J17" s="9" t="n">
        <f aca="false">COUNTIFS('Schedule-Lookahead'!$A$2:$A$301,$A17,'Schedule-Lookahead'!$H$2:$H$301,"&lt;&gt;")</f>
        <v>0</v>
      </c>
    </row>
    <row r="18" customFormat="false" ht="15" hidden="false" customHeight="false" outlineLevel="0" collapsed="false">
      <c r="A18" s="8" t="str">
        <f aca="false">'Job List'!A15</f>
        <v>Nick - Academy MS Mesa - 25421 - NA</v>
      </c>
      <c r="B18" s="8" t="str">
        <f aca="false">'Job List'!B15</f>
        <v>25421</v>
      </c>
      <c r="C18" s="9" t="n">
        <f aca="false">COUNTIFS('RFI Log'!$A$2:$A$301,$A18,'RFI Log'!$I$2:$I$301,"Open")</f>
        <v>0</v>
      </c>
      <c r="D18" s="9" t="n">
        <f aca="false">COUNTIFS('RFI Log'!$A$2:$A$301,$A18,'RFI Log'!$L$2:$L$301,"OVERDUE")</f>
        <v>0</v>
      </c>
      <c r="E18" s="9" t="n">
        <f aca="false">COUNTIFS('Submittal Log'!$A$2:$A$301,$A18,'Submittal Log'!$G$2:$G$301,"")-COUNTIFS('Submittal Log'!$A$2:$A$301,$A18,'Submittal Log'!$C$2:$C$301,"")</f>
        <v>0</v>
      </c>
      <c r="F18" s="9" t="n">
        <f aca="false">COUNTIFS('Submittal Log'!$A$2:$A$301,$A18,'Submittal Log'!$I$2:$I$301,"OVERDUE")</f>
        <v>0</v>
      </c>
      <c r="G18" s="9" t="n">
        <f aca="false">COUNTIFS('Change Order Log'!$A$2:$A$301,$A18,'Change Order Log'!$G$2:$G$301,"Pending")+COUNTIFS('Change Order Log'!$A$2:$A$301,$A18,'Change Order Log'!$G$2:$G$301,"Submitted")</f>
        <v>0</v>
      </c>
      <c r="H18" s="10" t="n">
        <f aca="false">SUMIFS('Change Order Log'!$H$2:$H$301,'Change Order Log'!$A$2:$A$301,$A18,'Change Order Log'!$G$2:$G$301,"Pending")+SUMIFS('Change Order Log'!$H$2:$H$301,'Change Order Log'!$A$2:$A$301,$A18,'Change Order Log'!$G$2:$G$301,"Submitted")</f>
        <v>0</v>
      </c>
      <c r="I18" s="9" t="n">
        <f aca="false">COUNTIFS('Punch List'!$A$2:$A$301,$A18,'Punch List'!$H$2:$H$301,"Open")+COUNTIFS('Punch List'!$A$2:$A$301,$A18,'Punch List'!$H$2:$H$301,"In Progress")</f>
        <v>0</v>
      </c>
      <c r="J18" s="9" t="n">
        <f aca="false">COUNTIFS('Schedule-Lookahead'!$A$2:$A$301,$A18,'Schedule-Lookahead'!$H$2:$H$301,"&lt;&gt;")</f>
        <v>0</v>
      </c>
    </row>
    <row r="19" customFormat="false" ht="15" hidden="false" customHeight="false" outlineLevel="0" collapsed="false">
      <c r="A19" s="8" t="str">
        <f aca="false">'Job List'!A16</f>
        <v>Nick - Skyport at Redfield - 25531 - NA</v>
      </c>
      <c r="B19" s="8" t="str">
        <f aca="false">'Job List'!B16</f>
        <v>25531</v>
      </c>
      <c r="C19" s="9" t="n">
        <f aca="false">COUNTIFS('RFI Log'!$A$2:$A$301,$A19,'RFI Log'!$I$2:$I$301,"Open")</f>
        <v>0</v>
      </c>
      <c r="D19" s="9" t="n">
        <f aca="false">COUNTIFS('RFI Log'!$A$2:$A$301,$A19,'RFI Log'!$L$2:$L$301,"OVERDUE")</f>
        <v>0</v>
      </c>
      <c r="E19" s="9" t="n">
        <f aca="false">COUNTIFS('Submittal Log'!$A$2:$A$301,$A19,'Submittal Log'!$G$2:$G$301,"")-COUNTIFS('Submittal Log'!$A$2:$A$301,$A19,'Submittal Log'!$C$2:$C$301,"")</f>
        <v>0</v>
      </c>
      <c r="F19" s="9" t="n">
        <f aca="false">COUNTIFS('Submittal Log'!$A$2:$A$301,$A19,'Submittal Log'!$I$2:$I$301,"OVERDUE")</f>
        <v>0</v>
      </c>
      <c r="G19" s="9" t="n">
        <f aca="false">COUNTIFS('Change Order Log'!$A$2:$A$301,$A19,'Change Order Log'!$G$2:$G$301,"Pending")+COUNTIFS('Change Order Log'!$A$2:$A$301,$A19,'Change Order Log'!$G$2:$G$301,"Submitted")</f>
        <v>0</v>
      </c>
      <c r="H19" s="10" t="n">
        <f aca="false">SUMIFS('Change Order Log'!$H$2:$H$301,'Change Order Log'!$A$2:$A$301,$A19,'Change Order Log'!$G$2:$G$301,"Pending")+SUMIFS('Change Order Log'!$H$2:$H$301,'Change Order Log'!$A$2:$A$301,$A19,'Change Order Log'!$G$2:$G$301,"Submitted")</f>
        <v>0</v>
      </c>
      <c r="I19" s="9" t="n">
        <f aca="false">COUNTIFS('Punch List'!$A$2:$A$301,$A19,'Punch List'!$H$2:$H$301,"Open")+COUNTIFS('Punch List'!$A$2:$A$301,$A19,'Punch List'!$H$2:$H$301,"In Progress")</f>
        <v>0</v>
      </c>
      <c r="J19" s="9" t="n">
        <f aca="false">COUNTIFS('Schedule-Lookahead'!$A$2:$A$301,$A19,'Schedule-Lookahead'!$H$2:$H$301,"&lt;&gt;")</f>
        <v>0</v>
      </c>
    </row>
    <row r="20" customFormat="false" ht="18" hidden="false" customHeight="true" outlineLevel="0" collapsed="false">
      <c r="A20" s="11" t="s">
        <v>37</v>
      </c>
      <c r="B20" s="12"/>
      <c r="C20" s="13" t="n">
        <f aca="false">SUM(C5:C19)</f>
        <v>0</v>
      </c>
      <c r="D20" s="13" t="n">
        <f aca="false">SUM(D5:D19)</f>
        <v>0</v>
      </c>
      <c r="E20" s="13" t="n">
        <f aca="false">SUM(E5:E19)</f>
        <v>0</v>
      </c>
      <c r="F20" s="13" t="n">
        <f aca="false">SUM(F5:F19)</f>
        <v>0</v>
      </c>
      <c r="G20" s="13" t="n">
        <f aca="false">SUM(G5:G19)</f>
        <v>0</v>
      </c>
      <c r="H20" s="14" t="n">
        <f aca="false">SUM(H5:H19)</f>
        <v>0</v>
      </c>
      <c r="I20" s="13" t="n">
        <f aca="false">SUM(I5:I19)</f>
        <v>0</v>
      </c>
      <c r="J20" s="13" t="n">
        <f aca="false">SUM(J5:J19)</f>
        <v>0</v>
      </c>
    </row>
    <row r="23" customFormat="false" ht="15" hidden="false" customHeight="false" outlineLevel="0" collapsed="false">
      <c r="A23" s="15" t="s">
        <v>38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2"/>
  </cols>
  <sheetData>
    <row r="1" customFormat="false" ht="30" hidden="false" customHeight="true" outlineLevel="0" collapsed="false">
      <c r="A1" s="7" t="s">
        <v>27</v>
      </c>
      <c r="B1" s="7" t="s">
        <v>28</v>
      </c>
    </row>
    <row r="2" customFormat="false" ht="15" hidden="false" customHeight="false" outlineLevel="0" collapsed="false">
      <c r="A2" s="8" t="s">
        <v>39</v>
      </c>
      <c r="B2" s="8" t="s">
        <v>40</v>
      </c>
    </row>
    <row r="3" customFormat="false" ht="15" hidden="false" customHeight="false" outlineLevel="0" collapsed="false">
      <c r="A3" s="8" t="s">
        <v>41</v>
      </c>
      <c r="B3" s="8" t="s">
        <v>42</v>
      </c>
    </row>
    <row r="4" customFormat="false" ht="15" hidden="false" customHeight="false" outlineLevel="0" collapsed="false">
      <c r="A4" s="8" t="s">
        <v>43</v>
      </c>
      <c r="B4" s="8" t="s">
        <v>44</v>
      </c>
    </row>
    <row r="5" customFormat="false" ht="15" hidden="false" customHeight="false" outlineLevel="0" collapsed="false">
      <c r="A5" s="8" t="s">
        <v>45</v>
      </c>
      <c r="B5" s="8" t="s">
        <v>46</v>
      </c>
    </row>
    <row r="6" customFormat="false" ht="15" hidden="false" customHeight="false" outlineLevel="0" collapsed="false">
      <c r="A6" s="8" t="s">
        <v>47</v>
      </c>
      <c r="B6" s="8" t="s">
        <v>48</v>
      </c>
    </row>
    <row r="7" customFormat="false" ht="15" hidden="false" customHeight="false" outlineLevel="0" collapsed="false">
      <c r="A7" s="8" t="s">
        <v>49</v>
      </c>
      <c r="B7" s="8" t="s">
        <v>50</v>
      </c>
    </row>
    <row r="8" customFormat="false" ht="15" hidden="false" customHeight="false" outlineLevel="0" collapsed="false">
      <c r="A8" s="8" t="s">
        <v>51</v>
      </c>
      <c r="B8" s="8" t="s">
        <v>52</v>
      </c>
    </row>
    <row r="9" customFormat="false" ht="15" hidden="false" customHeight="false" outlineLevel="0" collapsed="false">
      <c r="A9" s="8" t="s">
        <v>53</v>
      </c>
      <c r="B9" s="8" t="s">
        <v>54</v>
      </c>
    </row>
    <row r="10" customFormat="false" ht="15" hidden="false" customHeight="false" outlineLevel="0" collapsed="false">
      <c r="A10" s="8" t="s">
        <v>55</v>
      </c>
      <c r="B10" s="8" t="s">
        <v>56</v>
      </c>
    </row>
    <row r="11" customFormat="false" ht="15" hidden="false" customHeight="false" outlineLevel="0" collapsed="false">
      <c r="A11" s="8" t="s">
        <v>57</v>
      </c>
      <c r="B11" s="8" t="s">
        <v>58</v>
      </c>
    </row>
    <row r="12" customFormat="false" ht="15" hidden="false" customHeight="false" outlineLevel="0" collapsed="false">
      <c r="A12" s="8" t="s">
        <v>59</v>
      </c>
      <c r="B12" s="8" t="s">
        <v>60</v>
      </c>
    </row>
    <row r="13" customFormat="false" ht="15" hidden="false" customHeight="false" outlineLevel="0" collapsed="false">
      <c r="A13" s="8" t="s">
        <v>61</v>
      </c>
      <c r="B13" s="8" t="s">
        <v>62</v>
      </c>
    </row>
    <row r="14" customFormat="false" ht="15" hidden="false" customHeight="false" outlineLevel="0" collapsed="false">
      <c r="A14" s="8" t="s">
        <v>63</v>
      </c>
      <c r="B14" s="8" t="s">
        <v>64</v>
      </c>
    </row>
    <row r="15" customFormat="false" ht="15" hidden="false" customHeight="false" outlineLevel="0" collapsed="false">
      <c r="A15" s="8" t="s">
        <v>65</v>
      </c>
      <c r="B15" s="8" t="s">
        <v>66</v>
      </c>
    </row>
    <row r="16" customFormat="false" ht="15" hidden="false" customHeight="false" outlineLevel="0" collapsed="false">
      <c r="A16" s="8" t="s">
        <v>67</v>
      </c>
      <c r="B16" s="8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9"/>
    <col collapsed="false" customWidth="true" hidden="false" outlineLevel="0" max="4" min="4" style="0" width="32"/>
    <col collapsed="false" customWidth="true" hidden="false" outlineLevel="0" max="7" min="5" style="0" width="13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8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30"/>
  </cols>
  <sheetData>
    <row r="1" customFormat="false" ht="30" hidden="false" customHeight="true" outlineLevel="0" collapsed="false">
      <c r="A1" s="7" t="s">
        <v>27</v>
      </c>
      <c r="B1" s="7" t="s">
        <v>28</v>
      </c>
      <c r="C1" s="7" t="s">
        <v>69</v>
      </c>
      <c r="D1" s="7" t="s">
        <v>70</v>
      </c>
      <c r="E1" s="7" t="s">
        <v>71</v>
      </c>
      <c r="F1" s="7" t="s">
        <v>72</v>
      </c>
      <c r="G1" s="7" t="s">
        <v>73</v>
      </c>
      <c r="H1" s="7" t="s">
        <v>74</v>
      </c>
      <c r="I1" s="7" t="s">
        <v>75</v>
      </c>
      <c r="J1" s="7" t="s">
        <v>76</v>
      </c>
      <c r="K1" s="7" t="s">
        <v>77</v>
      </c>
      <c r="L1" s="7" t="s">
        <v>78</v>
      </c>
      <c r="M1" s="7" t="s">
        <v>79</v>
      </c>
    </row>
    <row r="2" customFormat="false" ht="15" hidden="false" customHeight="false" outlineLevel="0" collapsed="false">
      <c r="A2" s="16"/>
      <c r="B2" s="16"/>
      <c r="C2" s="16"/>
      <c r="D2" s="16"/>
      <c r="E2" s="17"/>
      <c r="F2" s="17"/>
      <c r="G2" s="17"/>
      <c r="H2" s="16" t="str">
        <f aca="true">IF(E2="","",IF(G2&lt;&gt;"",G2-E2,TODAY()-E2))</f>
        <v/>
      </c>
      <c r="I2" s="16"/>
      <c r="J2" s="16"/>
      <c r="K2" s="16"/>
      <c r="L2" s="16" t="str">
        <f aca="true">IF(AND(I2="Open",F2&lt;&gt;"",TODAY()&gt;F2),"OVERDUE","")</f>
        <v/>
      </c>
      <c r="M2" s="16"/>
    </row>
    <row r="3" customFormat="false" ht="15" hidden="false" customHeight="false" outlineLevel="0" collapsed="false">
      <c r="A3" s="16"/>
      <c r="B3" s="16"/>
      <c r="C3" s="16"/>
      <c r="D3" s="16"/>
      <c r="E3" s="17"/>
      <c r="F3" s="17"/>
      <c r="G3" s="17"/>
      <c r="H3" s="16" t="str">
        <f aca="true">IF(E3="","",IF(G3&lt;&gt;"",G3-E3,TODAY()-E3))</f>
        <v/>
      </c>
      <c r="I3" s="16"/>
      <c r="J3" s="16"/>
      <c r="K3" s="16"/>
      <c r="L3" s="16" t="str">
        <f aca="true">IF(AND(I3="Open",F3&lt;&gt;"",TODAY()&gt;F3),"OVERDUE","")</f>
        <v/>
      </c>
      <c r="M3" s="16"/>
    </row>
    <row r="4" customFormat="false" ht="15" hidden="false" customHeight="false" outlineLevel="0" collapsed="false">
      <c r="A4" s="16"/>
      <c r="B4" s="16"/>
      <c r="C4" s="16"/>
      <c r="D4" s="16"/>
      <c r="E4" s="17"/>
      <c r="F4" s="17"/>
      <c r="G4" s="17"/>
      <c r="H4" s="16" t="str">
        <f aca="true">IF(E4="","",IF(G4&lt;&gt;"",G4-E4,TODAY()-E4))</f>
        <v/>
      </c>
      <c r="I4" s="16"/>
      <c r="J4" s="16"/>
      <c r="K4" s="16"/>
      <c r="L4" s="16" t="str">
        <f aca="true">IF(AND(I4="Open",F4&lt;&gt;"",TODAY()&gt;F4),"OVERDUE","")</f>
        <v/>
      </c>
      <c r="M4" s="16"/>
    </row>
    <row r="5" customFormat="false" ht="15" hidden="false" customHeight="false" outlineLevel="0" collapsed="false">
      <c r="A5" s="16"/>
      <c r="B5" s="16"/>
      <c r="C5" s="16"/>
      <c r="D5" s="16"/>
      <c r="E5" s="17"/>
      <c r="F5" s="17"/>
      <c r="G5" s="17"/>
      <c r="H5" s="16" t="str">
        <f aca="true">IF(E5="","",IF(G5&lt;&gt;"",G5-E5,TODAY()-E5))</f>
        <v/>
      </c>
      <c r="I5" s="16"/>
      <c r="J5" s="16"/>
      <c r="K5" s="16"/>
      <c r="L5" s="16" t="str">
        <f aca="true">IF(AND(I5="Open",F5&lt;&gt;"",TODAY()&gt;F5),"OVERDUE","")</f>
        <v/>
      </c>
      <c r="M5" s="16"/>
    </row>
    <row r="6" customFormat="false" ht="15" hidden="false" customHeight="false" outlineLevel="0" collapsed="false">
      <c r="A6" s="16"/>
      <c r="B6" s="16"/>
      <c r="C6" s="16"/>
      <c r="D6" s="16"/>
      <c r="E6" s="17"/>
      <c r="F6" s="17"/>
      <c r="G6" s="17"/>
      <c r="H6" s="16" t="str">
        <f aca="true">IF(E6="","",IF(G6&lt;&gt;"",G6-E6,TODAY()-E6))</f>
        <v/>
      </c>
      <c r="I6" s="16"/>
      <c r="J6" s="16"/>
      <c r="K6" s="16"/>
      <c r="L6" s="16" t="str">
        <f aca="true">IF(AND(I6="Open",F6&lt;&gt;"",TODAY()&gt;F6),"OVERDUE","")</f>
        <v/>
      </c>
      <c r="M6" s="16"/>
    </row>
    <row r="7" customFormat="false" ht="15" hidden="false" customHeight="false" outlineLevel="0" collapsed="false">
      <c r="A7" s="16"/>
      <c r="B7" s="16"/>
      <c r="C7" s="16"/>
      <c r="D7" s="16"/>
      <c r="E7" s="17"/>
      <c r="F7" s="17"/>
      <c r="G7" s="17"/>
      <c r="H7" s="16" t="str">
        <f aca="true">IF(E7="","",IF(G7&lt;&gt;"",G7-E7,TODAY()-E7))</f>
        <v/>
      </c>
      <c r="I7" s="16"/>
      <c r="J7" s="16"/>
      <c r="K7" s="16"/>
      <c r="L7" s="16" t="str">
        <f aca="true">IF(AND(I7="Open",F7&lt;&gt;"",TODAY()&gt;F7),"OVERDUE","")</f>
        <v/>
      </c>
      <c r="M7" s="16"/>
    </row>
    <row r="8" customFormat="false" ht="15" hidden="false" customHeight="false" outlineLevel="0" collapsed="false">
      <c r="A8" s="16"/>
      <c r="B8" s="16"/>
      <c r="C8" s="16"/>
      <c r="D8" s="16"/>
      <c r="E8" s="17"/>
      <c r="F8" s="17"/>
      <c r="G8" s="17"/>
      <c r="H8" s="16" t="str">
        <f aca="true">IF(E8="","",IF(G8&lt;&gt;"",G8-E8,TODAY()-E8))</f>
        <v/>
      </c>
      <c r="I8" s="16"/>
      <c r="J8" s="16"/>
      <c r="K8" s="16"/>
      <c r="L8" s="16" t="str">
        <f aca="true">IF(AND(I8="Open",F8&lt;&gt;"",TODAY()&gt;F8),"OVERDUE","")</f>
        <v/>
      </c>
      <c r="M8" s="16"/>
    </row>
    <row r="9" customFormat="false" ht="15" hidden="false" customHeight="false" outlineLevel="0" collapsed="false">
      <c r="A9" s="16"/>
      <c r="B9" s="16"/>
      <c r="C9" s="16"/>
      <c r="D9" s="16"/>
      <c r="E9" s="17"/>
      <c r="F9" s="17"/>
      <c r="G9" s="17"/>
      <c r="H9" s="16" t="str">
        <f aca="true">IF(E9="","",IF(G9&lt;&gt;"",G9-E9,TODAY()-E9))</f>
        <v/>
      </c>
      <c r="I9" s="16"/>
      <c r="J9" s="16"/>
      <c r="K9" s="16"/>
      <c r="L9" s="16" t="str">
        <f aca="true">IF(AND(I9="Open",F9&lt;&gt;"",TODAY()&gt;F9),"OVERDUE","")</f>
        <v/>
      </c>
      <c r="M9" s="16"/>
    </row>
    <row r="10" customFormat="false" ht="15" hidden="false" customHeight="false" outlineLevel="0" collapsed="false">
      <c r="A10" s="16"/>
      <c r="B10" s="16"/>
      <c r="C10" s="16"/>
      <c r="D10" s="16"/>
      <c r="E10" s="17"/>
      <c r="F10" s="17"/>
      <c r="G10" s="17"/>
      <c r="H10" s="16" t="str">
        <f aca="true">IF(E10="","",IF(G10&lt;&gt;"",G10-E10,TODAY()-E10))</f>
        <v/>
      </c>
      <c r="I10" s="16"/>
      <c r="J10" s="16"/>
      <c r="K10" s="16"/>
      <c r="L10" s="16" t="str">
        <f aca="true">IF(AND(I10="Open",F10&lt;&gt;"",TODAY()&gt;F10),"OVERDUE","")</f>
        <v/>
      </c>
      <c r="M10" s="16"/>
    </row>
    <row r="11" customFormat="false" ht="15" hidden="false" customHeight="false" outlineLevel="0" collapsed="false">
      <c r="A11" s="16"/>
      <c r="B11" s="16"/>
      <c r="C11" s="16"/>
      <c r="D11" s="16"/>
      <c r="E11" s="17"/>
      <c r="F11" s="17"/>
      <c r="G11" s="17"/>
      <c r="H11" s="16" t="str">
        <f aca="true">IF(E11="","",IF(G11&lt;&gt;"",G11-E11,TODAY()-E11))</f>
        <v/>
      </c>
      <c r="I11" s="16"/>
      <c r="J11" s="16"/>
      <c r="K11" s="16"/>
      <c r="L11" s="16" t="str">
        <f aca="true">IF(AND(I11="Open",F11&lt;&gt;"",TODAY()&gt;F11),"OVERDUE","")</f>
        <v/>
      </c>
      <c r="M11" s="16"/>
    </row>
    <row r="12" customFormat="false" ht="15" hidden="false" customHeight="false" outlineLevel="0" collapsed="false">
      <c r="A12" s="16"/>
      <c r="B12" s="16"/>
      <c r="C12" s="16"/>
      <c r="D12" s="16"/>
      <c r="E12" s="17"/>
      <c r="F12" s="17"/>
      <c r="G12" s="17"/>
      <c r="H12" s="16" t="str">
        <f aca="true">IF(E12="","",IF(G12&lt;&gt;"",G12-E12,TODAY()-E12))</f>
        <v/>
      </c>
      <c r="I12" s="16"/>
      <c r="J12" s="16"/>
      <c r="K12" s="16"/>
      <c r="L12" s="16" t="str">
        <f aca="true">IF(AND(I12="Open",F12&lt;&gt;"",TODAY()&gt;F12),"OVERDUE","")</f>
        <v/>
      </c>
      <c r="M12" s="16"/>
    </row>
    <row r="13" customFormat="false" ht="15" hidden="false" customHeight="false" outlineLevel="0" collapsed="false">
      <c r="A13" s="16"/>
      <c r="B13" s="16"/>
      <c r="C13" s="16"/>
      <c r="D13" s="16"/>
      <c r="E13" s="17"/>
      <c r="F13" s="17"/>
      <c r="G13" s="17"/>
      <c r="H13" s="16" t="str">
        <f aca="true">IF(E13="","",IF(G13&lt;&gt;"",G13-E13,TODAY()-E13))</f>
        <v/>
      </c>
      <c r="I13" s="16"/>
      <c r="J13" s="16"/>
      <c r="K13" s="16"/>
      <c r="L13" s="16" t="str">
        <f aca="true">IF(AND(I13="Open",F13&lt;&gt;"",TODAY()&gt;F13),"OVERDUE","")</f>
        <v/>
      </c>
      <c r="M13" s="16"/>
    </row>
    <row r="14" customFormat="false" ht="15" hidden="false" customHeight="false" outlineLevel="0" collapsed="false">
      <c r="A14" s="16"/>
      <c r="B14" s="16"/>
      <c r="C14" s="16"/>
      <c r="D14" s="16"/>
      <c r="E14" s="17"/>
      <c r="F14" s="17"/>
      <c r="G14" s="17"/>
      <c r="H14" s="16" t="str">
        <f aca="true">IF(E14="","",IF(G14&lt;&gt;"",G14-E14,TODAY()-E14))</f>
        <v/>
      </c>
      <c r="I14" s="16"/>
      <c r="J14" s="16"/>
      <c r="K14" s="16"/>
      <c r="L14" s="16" t="str">
        <f aca="true">IF(AND(I14="Open",F14&lt;&gt;"",TODAY()&gt;F14),"OVERDUE","")</f>
        <v/>
      </c>
      <c r="M14" s="16"/>
    </row>
    <row r="15" customFormat="false" ht="15" hidden="false" customHeight="false" outlineLevel="0" collapsed="false">
      <c r="A15" s="16"/>
      <c r="B15" s="16"/>
      <c r="C15" s="16"/>
      <c r="D15" s="16"/>
      <c r="E15" s="17"/>
      <c r="F15" s="17"/>
      <c r="G15" s="17"/>
      <c r="H15" s="16" t="str">
        <f aca="true">IF(E15="","",IF(G15&lt;&gt;"",G15-E15,TODAY()-E15))</f>
        <v/>
      </c>
      <c r="I15" s="16"/>
      <c r="J15" s="16"/>
      <c r="K15" s="16"/>
      <c r="L15" s="16" t="str">
        <f aca="true">IF(AND(I15="Open",F15&lt;&gt;"",TODAY()&gt;F15),"OVERDUE","")</f>
        <v/>
      </c>
      <c r="M15" s="16"/>
    </row>
    <row r="16" customFormat="false" ht="15" hidden="false" customHeight="false" outlineLevel="0" collapsed="false">
      <c r="A16" s="16"/>
      <c r="B16" s="16"/>
      <c r="C16" s="16"/>
      <c r="D16" s="16"/>
      <c r="E16" s="17"/>
      <c r="F16" s="17"/>
      <c r="G16" s="17"/>
      <c r="H16" s="16" t="str">
        <f aca="true">IF(E16="","",IF(G16&lt;&gt;"",G16-E16,TODAY()-E16))</f>
        <v/>
      </c>
      <c r="I16" s="16"/>
      <c r="J16" s="16"/>
      <c r="K16" s="16"/>
      <c r="L16" s="16" t="str">
        <f aca="true">IF(AND(I16="Open",F16&lt;&gt;"",TODAY()&gt;F16),"OVERDUE","")</f>
        <v/>
      </c>
      <c r="M16" s="16"/>
    </row>
    <row r="17" customFormat="false" ht="15" hidden="false" customHeight="false" outlineLevel="0" collapsed="false">
      <c r="A17" s="16"/>
      <c r="B17" s="16"/>
      <c r="C17" s="16"/>
      <c r="D17" s="16"/>
      <c r="E17" s="17"/>
      <c r="F17" s="17"/>
      <c r="G17" s="17"/>
      <c r="H17" s="16" t="str">
        <f aca="true">IF(E17="","",IF(G17&lt;&gt;"",G17-E17,TODAY()-E17))</f>
        <v/>
      </c>
      <c r="I17" s="16"/>
      <c r="J17" s="16"/>
      <c r="K17" s="16"/>
      <c r="L17" s="16" t="str">
        <f aca="true">IF(AND(I17="Open",F17&lt;&gt;"",TODAY()&gt;F17),"OVERDUE","")</f>
        <v/>
      </c>
      <c r="M17" s="16"/>
    </row>
    <row r="18" customFormat="false" ht="15" hidden="false" customHeight="false" outlineLevel="0" collapsed="false">
      <c r="A18" s="16"/>
      <c r="B18" s="16"/>
      <c r="C18" s="16"/>
      <c r="D18" s="16"/>
      <c r="E18" s="17"/>
      <c r="F18" s="17"/>
      <c r="G18" s="17"/>
      <c r="H18" s="16" t="str">
        <f aca="true">IF(E18="","",IF(G18&lt;&gt;"",G18-E18,TODAY()-E18))</f>
        <v/>
      </c>
      <c r="I18" s="16"/>
      <c r="J18" s="16"/>
      <c r="K18" s="16"/>
      <c r="L18" s="16" t="str">
        <f aca="true">IF(AND(I18="Open",F18&lt;&gt;"",TODAY()&gt;F18),"OVERDUE","")</f>
        <v/>
      </c>
      <c r="M18" s="16"/>
    </row>
    <row r="19" customFormat="false" ht="15" hidden="false" customHeight="false" outlineLevel="0" collapsed="false">
      <c r="A19" s="16"/>
      <c r="B19" s="16"/>
      <c r="C19" s="16"/>
      <c r="D19" s="16"/>
      <c r="E19" s="17"/>
      <c r="F19" s="17"/>
      <c r="G19" s="17"/>
      <c r="H19" s="16" t="str">
        <f aca="true">IF(E19="","",IF(G19&lt;&gt;"",G19-E19,TODAY()-E19))</f>
        <v/>
      </c>
      <c r="I19" s="16"/>
      <c r="J19" s="16"/>
      <c r="K19" s="16"/>
      <c r="L19" s="16" t="str">
        <f aca="true">IF(AND(I19="Open",F19&lt;&gt;"",TODAY()&gt;F19),"OVERDUE","")</f>
        <v/>
      </c>
      <c r="M19" s="16"/>
    </row>
    <row r="20" customFormat="false" ht="15" hidden="false" customHeight="false" outlineLevel="0" collapsed="false">
      <c r="A20" s="16"/>
      <c r="B20" s="16"/>
      <c r="C20" s="16"/>
      <c r="D20" s="16"/>
      <c r="E20" s="17"/>
      <c r="F20" s="17"/>
      <c r="G20" s="17"/>
      <c r="H20" s="16" t="str">
        <f aca="true">IF(E20="","",IF(G20&lt;&gt;"",G20-E20,TODAY()-E20))</f>
        <v/>
      </c>
      <c r="I20" s="16"/>
      <c r="J20" s="16"/>
      <c r="K20" s="16"/>
      <c r="L20" s="16" t="str">
        <f aca="true">IF(AND(I20="Open",F20&lt;&gt;"",TODAY()&gt;F20),"OVERDUE","")</f>
        <v/>
      </c>
      <c r="M20" s="16"/>
    </row>
    <row r="21" customFormat="false" ht="15" hidden="false" customHeight="false" outlineLevel="0" collapsed="false">
      <c r="A21" s="16"/>
      <c r="B21" s="16"/>
      <c r="C21" s="16"/>
      <c r="D21" s="16"/>
      <c r="E21" s="17"/>
      <c r="F21" s="17"/>
      <c r="G21" s="17"/>
      <c r="H21" s="16" t="str">
        <f aca="true">IF(E21="","",IF(G21&lt;&gt;"",G21-E21,TODAY()-E21))</f>
        <v/>
      </c>
      <c r="I21" s="16"/>
      <c r="J21" s="16"/>
      <c r="K21" s="16"/>
      <c r="L21" s="16" t="str">
        <f aca="true">IF(AND(I21="Open",F21&lt;&gt;"",TODAY()&gt;F21),"OVERDUE","")</f>
        <v/>
      </c>
      <c r="M21" s="16"/>
    </row>
    <row r="22" customFormat="false" ht="15" hidden="false" customHeight="false" outlineLevel="0" collapsed="false">
      <c r="A22" s="16"/>
      <c r="B22" s="16"/>
      <c r="C22" s="16"/>
      <c r="D22" s="16"/>
      <c r="E22" s="17"/>
      <c r="F22" s="17"/>
      <c r="G22" s="17"/>
      <c r="H22" s="16" t="str">
        <f aca="true">IF(E22="","",IF(G22&lt;&gt;"",G22-E22,TODAY()-E22))</f>
        <v/>
      </c>
      <c r="I22" s="16"/>
      <c r="J22" s="16"/>
      <c r="K22" s="16"/>
      <c r="L22" s="16" t="str">
        <f aca="true">IF(AND(I22="Open",F22&lt;&gt;"",TODAY()&gt;F22),"OVERDUE","")</f>
        <v/>
      </c>
      <c r="M22" s="16"/>
    </row>
    <row r="23" customFormat="false" ht="15" hidden="false" customHeight="false" outlineLevel="0" collapsed="false">
      <c r="A23" s="16"/>
      <c r="B23" s="16"/>
      <c r="C23" s="16"/>
      <c r="D23" s="16"/>
      <c r="E23" s="17"/>
      <c r="F23" s="17"/>
      <c r="G23" s="17"/>
      <c r="H23" s="16" t="str">
        <f aca="true">IF(E23="","",IF(G23&lt;&gt;"",G23-E23,TODAY()-E23))</f>
        <v/>
      </c>
      <c r="I23" s="16"/>
      <c r="J23" s="16"/>
      <c r="K23" s="16"/>
      <c r="L23" s="16" t="str">
        <f aca="true">IF(AND(I23="Open",F23&lt;&gt;"",TODAY()&gt;F23),"OVERDUE","")</f>
        <v/>
      </c>
      <c r="M23" s="16"/>
    </row>
    <row r="24" customFormat="false" ht="15" hidden="false" customHeight="false" outlineLevel="0" collapsed="false">
      <c r="A24" s="16"/>
      <c r="B24" s="16"/>
      <c r="C24" s="16"/>
      <c r="D24" s="16"/>
      <c r="E24" s="17"/>
      <c r="F24" s="17"/>
      <c r="G24" s="17"/>
      <c r="H24" s="16" t="str">
        <f aca="true">IF(E24="","",IF(G24&lt;&gt;"",G24-E24,TODAY()-E24))</f>
        <v/>
      </c>
      <c r="I24" s="16"/>
      <c r="J24" s="16"/>
      <c r="K24" s="16"/>
      <c r="L24" s="16" t="str">
        <f aca="true">IF(AND(I24="Open",F24&lt;&gt;"",TODAY()&gt;F24),"OVERDUE","")</f>
        <v/>
      </c>
      <c r="M24" s="16"/>
    </row>
    <row r="25" customFormat="false" ht="15" hidden="false" customHeight="false" outlineLevel="0" collapsed="false">
      <c r="A25" s="16"/>
      <c r="B25" s="16"/>
      <c r="C25" s="16"/>
      <c r="D25" s="16"/>
      <c r="E25" s="17"/>
      <c r="F25" s="17"/>
      <c r="G25" s="17"/>
      <c r="H25" s="16" t="str">
        <f aca="true">IF(E25="","",IF(G25&lt;&gt;"",G25-E25,TODAY()-E25))</f>
        <v/>
      </c>
      <c r="I25" s="16"/>
      <c r="J25" s="16"/>
      <c r="K25" s="16"/>
      <c r="L25" s="16" t="str">
        <f aca="true">IF(AND(I25="Open",F25&lt;&gt;"",TODAY()&gt;F25),"OVERDUE","")</f>
        <v/>
      </c>
      <c r="M25" s="16"/>
    </row>
    <row r="26" customFormat="false" ht="15" hidden="false" customHeight="false" outlineLevel="0" collapsed="false">
      <c r="A26" s="16"/>
      <c r="B26" s="16"/>
      <c r="C26" s="16"/>
      <c r="D26" s="16"/>
      <c r="E26" s="17"/>
      <c r="F26" s="17"/>
      <c r="G26" s="17"/>
      <c r="H26" s="16" t="str">
        <f aca="true">IF(E26="","",IF(G26&lt;&gt;"",G26-E26,TODAY()-E26))</f>
        <v/>
      </c>
      <c r="I26" s="16"/>
      <c r="J26" s="16"/>
      <c r="K26" s="16"/>
      <c r="L26" s="16" t="str">
        <f aca="true">IF(AND(I26="Open",F26&lt;&gt;"",TODAY()&gt;F26),"OVERDUE","")</f>
        <v/>
      </c>
      <c r="M26" s="16"/>
    </row>
    <row r="27" customFormat="false" ht="15" hidden="false" customHeight="false" outlineLevel="0" collapsed="false">
      <c r="A27" s="16"/>
      <c r="B27" s="16"/>
      <c r="C27" s="16"/>
      <c r="D27" s="16"/>
      <c r="E27" s="17"/>
      <c r="F27" s="17"/>
      <c r="G27" s="17"/>
      <c r="H27" s="16" t="str">
        <f aca="true">IF(E27="","",IF(G27&lt;&gt;"",G27-E27,TODAY()-E27))</f>
        <v/>
      </c>
      <c r="I27" s="16"/>
      <c r="J27" s="16"/>
      <c r="K27" s="16"/>
      <c r="L27" s="16" t="str">
        <f aca="true">IF(AND(I27="Open",F27&lt;&gt;"",TODAY()&gt;F27),"OVERDUE","")</f>
        <v/>
      </c>
      <c r="M27" s="16"/>
    </row>
    <row r="28" customFormat="false" ht="15" hidden="false" customHeight="false" outlineLevel="0" collapsed="false">
      <c r="A28" s="16"/>
      <c r="B28" s="16"/>
      <c r="C28" s="16"/>
      <c r="D28" s="16"/>
      <c r="E28" s="17"/>
      <c r="F28" s="17"/>
      <c r="G28" s="17"/>
      <c r="H28" s="16" t="str">
        <f aca="true">IF(E28="","",IF(G28&lt;&gt;"",G28-E28,TODAY()-E28))</f>
        <v/>
      </c>
      <c r="I28" s="16"/>
      <c r="J28" s="16"/>
      <c r="K28" s="16"/>
      <c r="L28" s="16" t="str">
        <f aca="true">IF(AND(I28="Open",F28&lt;&gt;"",TODAY()&gt;F28),"OVERDUE","")</f>
        <v/>
      </c>
      <c r="M28" s="16"/>
    </row>
    <row r="29" customFormat="false" ht="15" hidden="false" customHeight="false" outlineLevel="0" collapsed="false">
      <c r="A29" s="16"/>
      <c r="B29" s="16"/>
      <c r="C29" s="16"/>
      <c r="D29" s="16"/>
      <c r="E29" s="17"/>
      <c r="F29" s="17"/>
      <c r="G29" s="17"/>
      <c r="H29" s="16" t="str">
        <f aca="true">IF(E29="","",IF(G29&lt;&gt;"",G29-E29,TODAY()-E29))</f>
        <v/>
      </c>
      <c r="I29" s="16"/>
      <c r="J29" s="16"/>
      <c r="K29" s="16"/>
      <c r="L29" s="16" t="str">
        <f aca="true">IF(AND(I29="Open",F29&lt;&gt;"",TODAY()&gt;F29),"OVERDUE","")</f>
        <v/>
      </c>
      <c r="M29" s="16"/>
    </row>
    <row r="30" customFormat="false" ht="15" hidden="false" customHeight="false" outlineLevel="0" collapsed="false">
      <c r="A30" s="16"/>
      <c r="B30" s="16"/>
      <c r="C30" s="16"/>
      <c r="D30" s="16"/>
      <c r="E30" s="17"/>
      <c r="F30" s="17"/>
      <c r="G30" s="17"/>
      <c r="H30" s="16" t="str">
        <f aca="true">IF(E30="","",IF(G30&lt;&gt;"",G30-E30,TODAY()-E30))</f>
        <v/>
      </c>
      <c r="I30" s="16"/>
      <c r="J30" s="16"/>
      <c r="K30" s="16"/>
      <c r="L30" s="16" t="str">
        <f aca="true">IF(AND(I30="Open",F30&lt;&gt;"",TODAY()&gt;F30),"OVERDUE","")</f>
        <v/>
      </c>
      <c r="M30" s="16"/>
    </row>
    <row r="31" customFormat="false" ht="15" hidden="false" customHeight="false" outlineLevel="0" collapsed="false">
      <c r="A31" s="16"/>
      <c r="B31" s="16"/>
      <c r="C31" s="16"/>
      <c r="D31" s="16"/>
      <c r="E31" s="17"/>
      <c r="F31" s="17"/>
      <c r="G31" s="17"/>
      <c r="H31" s="16" t="str">
        <f aca="true">IF(E31="","",IF(G31&lt;&gt;"",G31-E31,TODAY()-E31))</f>
        <v/>
      </c>
      <c r="I31" s="16"/>
      <c r="J31" s="16"/>
      <c r="K31" s="16"/>
      <c r="L31" s="16" t="str">
        <f aca="true">IF(AND(I31="Open",F31&lt;&gt;"",TODAY()&gt;F31),"OVERDUE","")</f>
        <v/>
      </c>
      <c r="M31" s="16"/>
    </row>
    <row r="32" customFormat="false" ht="15" hidden="false" customHeight="false" outlineLevel="0" collapsed="false">
      <c r="A32" s="16"/>
      <c r="B32" s="16"/>
      <c r="C32" s="16"/>
      <c r="D32" s="16"/>
      <c r="E32" s="17"/>
      <c r="F32" s="17"/>
      <c r="G32" s="17"/>
      <c r="H32" s="16" t="str">
        <f aca="true">IF(E32="","",IF(G32&lt;&gt;"",G32-E32,TODAY()-E32))</f>
        <v/>
      </c>
      <c r="I32" s="16"/>
      <c r="J32" s="16"/>
      <c r="K32" s="16"/>
      <c r="L32" s="16" t="str">
        <f aca="true">IF(AND(I32="Open",F32&lt;&gt;"",TODAY()&gt;F32),"OVERDUE","")</f>
        <v/>
      </c>
      <c r="M32" s="16"/>
    </row>
    <row r="33" customFormat="false" ht="15" hidden="false" customHeight="false" outlineLevel="0" collapsed="false">
      <c r="A33" s="16"/>
      <c r="B33" s="16"/>
      <c r="C33" s="16"/>
      <c r="D33" s="16"/>
      <c r="E33" s="17"/>
      <c r="F33" s="17"/>
      <c r="G33" s="17"/>
      <c r="H33" s="16" t="str">
        <f aca="true">IF(E33="","",IF(G33&lt;&gt;"",G33-E33,TODAY()-E33))</f>
        <v/>
      </c>
      <c r="I33" s="16"/>
      <c r="J33" s="16"/>
      <c r="K33" s="16"/>
      <c r="L33" s="16" t="str">
        <f aca="true">IF(AND(I33="Open",F33&lt;&gt;"",TODAY()&gt;F33),"OVERDUE","")</f>
        <v/>
      </c>
      <c r="M33" s="16"/>
    </row>
    <row r="34" customFormat="false" ht="15" hidden="false" customHeight="false" outlineLevel="0" collapsed="false">
      <c r="A34" s="16"/>
      <c r="B34" s="16"/>
      <c r="C34" s="16"/>
      <c r="D34" s="16"/>
      <c r="E34" s="17"/>
      <c r="F34" s="17"/>
      <c r="G34" s="17"/>
      <c r="H34" s="16" t="str">
        <f aca="true">IF(E34="","",IF(G34&lt;&gt;"",G34-E34,TODAY()-E34))</f>
        <v/>
      </c>
      <c r="I34" s="16"/>
      <c r="J34" s="16"/>
      <c r="K34" s="16"/>
      <c r="L34" s="16" t="str">
        <f aca="true">IF(AND(I34="Open",F34&lt;&gt;"",TODAY()&gt;F34),"OVERDUE","")</f>
        <v/>
      </c>
      <c r="M34" s="16"/>
    </row>
    <row r="35" customFormat="false" ht="15" hidden="false" customHeight="false" outlineLevel="0" collapsed="false">
      <c r="A35" s="16"/>
      <c r="B35" s="16"/>
      <c r="C35" s="16"/>
      <c r="D35" s="16"/>
      <c r="E35" s="17"/>
      <c r="F35" s="17"/>
      <c r="G35" s="17"/>
      <c r="H35" s="16" t="str">
        <f aca="true">IF(E35="","",IF(G35&lt;&gt;"",G35-E35,TODAY()-E35))</f>
        <v/>
      </c>
      <c r="I35" s="16"/>
      <c r="J35" s="16"/>
      <c r="K35" s="16"/>
      <c r="L35" s="16" t="str">
        <f aca="true">IF(AND(I35="Open",F35&lt;&gt;"",TODAY()&gt;F35),"OVERDUE","")</f>
        <v/>
      </c>
      <c r="M35" s="16"/>
    </row>
    <row r="36" customFormat="false" ht="15" hidden="false" customHeight="false" outlineLevel="0" collapsed="false">
      <c r="A36" s="16"/>
      <c r="B36" s="16"/>
      <c r="C36" s="16"/>
      <c r="D36" s="16"/>
      <c r="E36" s="17"/>
      <c r="F36" s="17"/>
      <c r="G36" s="17"/>
      <c r="H36" s="16" t="str">
        <f aca="true">IF(E36="","",IF(G36&lt;&gt;"",G36-E36,TODAY()-E36))</f>
        <v/>
      </c>
      <c r="I36" s="16"/>
      <c r="J36" s="16"/>
      <c r="K36" s="16"/>
      <c r="L36" s="16" t="str">
        <f aca="true">IF(AND(I36="Open",F36&lt;&gt;"",TODAY()&gt;F36),"OVERDUE","")</f>
        <v/>
      </c>
      <c r="M36" s="16"/>
    </row>
    <row r="37" customFormat="false" ht="15" hidden="false" customHeight="false" outlineLevel="0" collapsed="false">
      <c r="A37" s="16"/>
      <c r="B37" s="16"/>
      <c r="C37" s="16"/>
      <c r="D37" s="16"/>
      <c r="E37" s="17"/>
      <c r="F37" s="17"/>
      <c r="G37" s="17"/>
      <c r="H37" s="16" t="str">
        <f aca="true">IF(E37="","",IF(G37&lt;&gt;"",G37-E37,TODAY()-E37))</f>
        <v/>
      </c>
      <c r="I37" s="16"/>
      <c r="J37" s="16"/>
      <c r="K37" s="16"/>
      <c r="L37" s="16" t="str">
        <f aca="true">IF(AND(I37="Open",F37&lt;&gt;"",TODAY()&gt;F37),"OVERDUE","")</f>
        <v/>
      </c>
      <c r="M37" s="16"/>
    </row>
    <row r="38" customFormat="false" ht="15" hidden="false" customHeight="false" outlineLevel="0" collapsed="false">
      <c r="A38" s="16"/>
      <c r="B38" s="16"/>
      <c r="C38" s="16"/>
      <c r="D38" s="16"/>
      <c r="E38" s="17"/>
      <c r="F38" s="17"/>
      <c r="G38" s="17"/>
      <c r="H38" s="16" t="str">
        <f aca="true">IF(E38="","",IF(G38&lt;&gt;"",G38-E38,TODAY()-E38))</f>
        <v/>
      </c>
      <c r="I38" s="16"/>
      <c r="J38" s="16"/>
      <c r="K38" s="16"/>
      <c r="L38" s="16" t="str">
        <f aca="true">IF(AND(I38="Open",F38&lt;&gt;"",TODAY()&gt;F38),"OVERDUE","")</f>
        <v/>
      </c>
      <c r="M38" s="16"/>
    </row>
    <row r="39" customFormat="false" ht="15" hidden="false" customHeight="false" outlineLevel="0" collapsed="false">
      <c r="A39" s="16"/>
      <c r="B39" s="16"/>
      <c r="C39" s="16"/>
      <c r="D39" s="16"/>
      <c r="E39" s="17"/>
      <c r="F39" s="17"/>
      <c r="G39" s="17"/>
      <c r="H39" s="16" t="str">
        <f aca="true">IF(E39="","",IF(G39&lt;&gt;"",G39-E39,TODAY()-E39))</f>
        <v/>
      </c>
      <c r="I39" s="16"/>
      <c r="J39" s="16"/>
      <c r="K39" s="16"/>
      <c r="L39" s="16" t="str">
        <f aca="true">IF(AND(I39="Open",F39&lt;&gt;"",TODAY()&gt;F39),"OVERDUE","")</f>
        <v/>
      </c>
      <c r="M39" s="16"/>
    </row>
    <row r="40" customFormat="false" ht="15" hidden="false" customHeight="false" outlineLevel="0" collapsed="false">
      <c r="A40" s="16"/>
      <c r="B40" s="16"/>
      <c r="C40" s="16"/>
      <c r="D40" s="16"/>
      <c r="E40" s="17"/>
      <c r="F40" s="17"/>
      <c r="G40" s="17"/>
      <c r="H40" s="16" t="str">
        <f aca="true">IF(E40="","",IF(G40&lt;&gt;"",G40-E40,TODAY()-E40))</f>
        <v/>
      </c>
      <c r="I40" s="16"/>
      <c r="J40" s="16"/>
      <c r="K40" s="16"/>
      <c r="L40" s="16" t="str">
        <f aca="true">IF(AND(I40="Open",F40&lt;&gt;"",TODAY()&gt;F40),"OVERDUE","")</f>
        <v/>
      </c>
      <c r="M40" s="16"/>
    </row>
    <row r="41" customFormat="false" ht="15" hidden="false" customHeight="false" outlineLevel="0" collapsed="false">
      <c r="A41" s="16"/>
      <c r="B41" s="16"/>
      <c r="C41" s="16"/>
      <c r="D41" s="16"/>
      <c r="E41" s="17"/>
      <c r="F41" s="17"/>
      <c r="G41" s="17"/>
      <c r="H41" s="16" t="str">
        <f aca="true">IF(E41="","",IF(G41&lt;&gt;"",G41-E41,TODAY()-E41))</f>
        <v/>
      </c>
      <c r="I41" s="16"/>
      <c r="J41" s="16"/>
      <c r="K41" s="16"/>
      <c r="L41" s="16" t="str">
        <f aca="true">IF(AND(I41="Open",F41&lt;&gt;"",TODAY()&gt;F41),"OVERDUE","")</f>
        <v/>
      </c>
      <c r="M41" s="16"/>
    </row>
    <row r="42" customFormat="false" ht="15" hidden="false" customHeight="false" outlineLevel="0" collapsed="false">
      <c r="A42" s="16"/>
      <c r="B42" s="16"/>
      <c r="C42" s="16"/>
      <c r="D42" s="16"/>
      <c r="E42" s="17"/>
      <c r="F42" s="17"/>
      <c r="G42" s="17"/>
      <c r="H42" s="16" t="str">
        <f aca="true">IF(E42="","",IF(G42&lt;&gt;"",G42-E42,TODAY()-E42))</f>
        <v/>
      </c>
      <c r="I42" s="16"/>
      <c r="J42" s="16"/>
      <c r="K42" s="16"/>
      <c r="L42" s="16" t="str">
        <f aca="true">IF(AND(I42="Open",F42&lt;&gt;"",TODAY()&gt;F42),"OVERDUE","")</f>
        <v/>
      </c>
      <c r="M42" s="16"/>
    </row>
    <row r="43" customFormat="false" ht="15" hidden="false" customHeight="false" outlineLevel="0" collapsed="false">
      <c r="A43" s="16"/>
      <c r="B43" s="16"/>
      <c r="C43" s="16"/>
      <c r="D43" s="16"/>
      <c r="E43" s="17"/>
      <c r="F43" s="17"/>
      <c r="G43" s="17"/>
      <c r="H43" s="16" t="str">
        <f aca="true">IF(E43="","",IF(G43&lt;&gt;"",G43-E43,TODAY()-E43))</f>
        <v/>
      </c>
      <c r="I43" s="16"/>
      <c r="J43" s="16"/>
      <c r="K43" s="16"/>
      <c r="L43" s="16" t="str">
        <f aca="true">IF(AND(I43="Open",F43&lt;&gt;"",TODAY()&gt;F43),"OVERDUE","")</f>
        <v/>
      </c>
      <c r="M43" s="16"/>
    </row>
    <row r="44" customFormat="false" ht="15" hidden="false" customHeight="false" outlineLevel="0" collapsed="false">
      <c r="A44" s="16"/>
      <c r="B44" s="16"/>
      <c r="C44" s="16"/>
      <c r="D44" s="16"/>
      <c r="E44" s="17"/>
      <c r="F44" s="17"/>
      <c r="G44" s="17"/>
      <c r="H44" s="16" t="str">
        <f aca="true">IF(E44="","",IF(G44&lt;&gt;"",G44-E44,TODAY()-E44))</f>
        <v/>
      </c>
      <c r="I44" s="16"/>
      <c r="J44" s="16"/>
      <c r="K44" s="16"/>
      <c r="L44" s="16" t="str">
        <f aca="true">IF(AND(I44="Open",F44&lt;&gt;"",TODAY()&gt;F44),"OVERDUE","")</f>
        <v/>
      </c>
      <c r="M44" s="16"/>
    </row>
    <row r="45" customFormat="false" ht="15" hidden="false" customHeight="false" outlineLevel="0" collapsed="false">
      <c r="A45" s="16"/>
      <c r="B45" s="16"/>
      <c r="C45" s="16"/>
      <c r="D45" s="16"/>
      <c r="E45" s="17"/>
      <c r="F45" s="17"/>
      <c r="G45" s="17"/>
      <c r="H45" s="16" t="str">
        <f aca="true">IF(E45="","",IF(G45&lt;&gt;"",G45-E45,TODAY()-E45))</f>
        <v/>
      </c>
      <c r="I45" s="16"/>
      <c r="J45" s="16"/>
      <c r="K45" s="16"/>
      <c r="L45" s="16" t="str">
        <f aca="true">IF(AND(I45="Open",F45&lt;&gt;"",TODAY()&gt;F45),"OVERDUE","")</f>
        <v/>
      </c>
      <c r="M45" s="16"/>
    </row>
    <row r="46" customFormat="false" ht="15" hidden="false" customHeight="false" outlineLevel="0" collapsed="false">
      <c r="A46" s="16"/>
      <c r="B46" s="16"/>
      <c r="C46" s="16"/>
      <c r="D46" s="16"/>
      <c r="E46" s="17"/>
      <c r="F46" s="17"/>
      <c r="G46" s="17"/>
      <c r="H46" s="16" t="str">
        <f aca="true">IF(E46="","",IF(G46&lt;&gt;"",G46-E46,TODAY()-E46))</f>
        <v/>
      </c>
      <c r="I46" s="16"/>
      <c r="J46" s="16"/>
      <c r="K46" s="16"/>
      <c r="L46" s="16" t="str">
        <f aca="true">IF(AND(I46="Open",F46&lt;&gt;"",TODAY()&gt;F46),"OVERDUE","")</f>
        <v/>
      </c>
      <c r="M46" s="16"/>
    </row>
    <row r="47" customFormat="false" ht="15" hidden="false" customHeight="false" outlineLevel="0" collapsed="false">
      <c r="A47" s="16"/>
      <c r="B47" s="16"/>
      <c r="C47" s="16"/>
      <c r="D47" s="16"/>
      <c r="E47" s="17"/>
      <c r="F47" s="17"/>
      <c r="G47" s="17"/>
      <c r="H47" s="16" t="str">
        <f aca="true">IF(E47="","",IF(G47&lt;&gt;"",G47-E47,TODAY()-E47))</f>
        <v/>
      </c>
      <c r="I47" s="16"/>
      <c r="J47" s="16"/>
      <c r="K47" s="16"/>
      <c r="L47" s="16" t="str">
        <f aca="true">IF(AND(I47="Open",F47&lt;&gt;"",TODAY()&gt;F47),"OVERDUE","")</f>
        <v/>
      </c>
      <c r="M47" s="16"/>
    </row>
    <row r="48" customFormat="false" ht="15" hidden="false" customHeight="false" outlineLevel="0" collapsed="false">
      <c r="A48" s="16"/>
      <c r="B48" s="16"/>
      <c r="C48" s="16"/>
      <c r="D48" s="16"/>
      <c r="E48" s="17"/>
      <c r="F48" s="17"/>
      <c r="G48" s="17"/>
      <c r="H48" s="16" t="str">
        <f aca="true">IF(E48="","",IF(G48&lt;&gt;"",G48-E48,TODAY()-E48))</f>
        <v/>
      </c>
      <c r="I48" s="16"/>
      <c r="J48" s="16"/>
      <c r="K48" s="16"/>
      <c r="L48" s="16" t="str">
        <f aca="true">IF(AND(I48="Open",F48&lt;&gt;"",TODAY()&gt;F48),"OVERDUE","")</f>
        <v/>
      </c>
      <c r="M48" s="16"/>
    </row>
    <row r="49" customFormat="false" ht="15" hidden="false" customHeight="false" outlineLevel="0" collapsed="false">
      <c r="A49" s="16"/>
      <c r="B49" s="16"/>
      <c r="C49" s="16"/>
      <c r="D49" s="16"/>
      <c r="E49" s="17"/>
      <c r="F49" s="17"/>
      <c r="G49" s="17"/>
      <c r="H49" s="16" t="str">
        <f aca="true">IF(E49="","",IF(G49&lt;&gt;"",G49-E49,TODAY()-E49))</f>
        <v/>
      </c>
      <c r="I49" s="16"/>
      <c r="J49" s="16"/>
      <c r="K49" s="16"/>
      <c r="L49" s="16" t="str">
        <f aca="true">IF(AND(I49="Open",F49&lt;&gt;"",TODAY()&gt;F49),"OVERDUE","")</f>
        <v/>
      </c>
      <c r="M49" s="16"/>
    </row>
    <row r="50" customFormat="false" ht="15" hidden="false" customHeight="false" outlineLevel="0" collapsed="false">
      <c r="A50" s="16"/>
      <c r="B50" s="16"/>
      <c r="C50" s="16"/>
      <c r="D50" s="16"/>
      <c r="E50" s="17"/>
      <c r="F50" s="17"/>
      <c r="G50" s="17"/>
      <c r="H50" s="16" t="str">
        <f aca="true">IF(E50="","",IF(G50&lt;&gt;"",G50-E50,TODAY()-E50))</f>
        <v/>
      </c>
      <c r="I50" s="16"/>
      <c r="J50" s="16"/>
      <c r="K50" s="16"/>
      <c r="L50" s="16" t="str">
        <f aca="true">IF(AND(I50="Open",F50&lt;&gt;"",TODAY()&gt;F50),"OVERDUE","")</f>
        <v/>
      </c>
      <c r="M50" s="16"/>
    </row>
    <row r="51" customFormat="false" ht="15" hidden="false" customHeight="false" outlineLevel="0" collapsed="false">
      <c r="A51" s="16"/>
      <c r="B51" s="16"/>
      <c r="C51" s="16"/>
      <c r="D51" s="16"/>
      <c r="E51" s="17"/>
      <c r="F51" s="17"/>
      <c r="G51" s="17"/>
      <c r="H51" s="16" t="str">
        <f aca="true">IF(E51="","",IF(G51&lt;&gt;"",G51-E51,TODAY()-E51))</f>
        <v/>
      </c>
      <c r="I51" s="16"/>
      <c r="J51" s="16"/>
      <c r="K51" s="16"/>
      <c r="L51" s="16" t="str">
        <f aca="true">IF(AND(I51="Open",F51&lt;&gt;"",TODAY()&gt;F51),"OVERDUE","")</f>
        <v/>
      </c>
      <c r="M51" s="16"/>
    </row>
    <row r="52" customFormat="false" ht="15" hidden="false" customHeight="false" outlineLevel="0" collapsed="false">
      <c r="A52" s="16"/>
      <c r="B52" s="16"/>
      <c r="C52" s="16"/>
      <c r="D52" s="16"/>
      <c r="E52" s="17"/>
      <c r="F52" s="17"/>
      <c r="G52" s="17"/>
      <c r="H52" s="16" t="str">
        <f aca="true">IF(E52="","",IF(G52&lt;&gt;"",G52-E52,TODAY()-E52))</f>
        <v/>
      </c>
      <c r="I52" s="16"/>
      <c r="J52" s="16"/>
      <c r="K52" s="16"/>
      <c r="L52" s="16" t="str">
        <f aca="true">IF(AND(I52="Open",F52&lt;&gt;"",TODAY()&gt;F52),"OVERDUE","")</f>
        <v/>
      </c>
      <c r="M52" s="16"/>
    </row>
    <row r="53" customFormat="false" ht="15" hidden="false" customHeight="false" outlineLevel="0" collapsed="false">
      <c r="A53" s="16"/>
      <c r="B53" s="16"/>
      <c r="C53" s="16"/>
      <c r="D53" s="16"/>
      <c r="E53" s="17"/>
      <c r="F53" s="17"/>
      <c r="G53" s="17"/>
      <c r="H53" s="16" t="str">
        <f aca="true">IF(E53="","",IF(G53&lt;&gt;"",G53-E53,TODAY()-E53))</f>
        <v/>
      </c>
      <c r="I53" s="16"/>
      <c r="J53" s="16"/>
      <c r="K53" s="16"/>
      <c r="L53" s="16" t="str">
        <f aca="true">IF(AND(I53="Open",F53&lt;&gt;"",TODAY()&gt;F53),"OVERDUE","")</f>
        <v/>
      </c>
      <c r="M53" s="16"/>
    </row>
    <row r="54" customFormat="false" ht="15" hidden="false" customHeight="false" outlineLevel="0" collapsed="false">
      <c r="A54" s="16"/>
      <c r="B54" s="16"/>
      <c r="C54" s="16"/>
      <c r="D54" s="16"/>
      <c r="E54" s="17"/>
      <c r="F54" s="17"/>
      <c r="G54" s="17"/>
      <c r="H54" s="16" t="str">
        <f aca="true">IF(E54="","",IF(G54&lt;&gt;"",G54-E54,TODAY()-E54))</f>
        <v/>
      </c>
      <c r="I54" s="16"/>
      <c r="J54" s="16"/>
      <c r="K54" s="16"/>
      <c r="L54" s="16" t="str">
        <f aca="true">IF(AND(I54="Open",F54&lt;&gt;"",TODAY()&gt;F54),"OVERDUE","")</f>
        <v/>
      </c>
      <c r="M54" s="16"/>
    </row>
    <row r="55" customFormat="false" ht="15" hidden="false" customHeight="false" outlineLevel="0" collapsed="false">
      <c r="A55" s="16"/>
      <c r="B55" s="16"/>
      <c r="C55" s="16"/>
      <c r="D55" s="16"/>
      <c r="E55" s="17"/>
      <c r="F55" s="17"/>
      <c r="G55" s="17"/>
      <c r="H55" s="16" t="str">
        <f aca="true">IF(E55="","",IF(G55&lt;&gt;"",G55-E55,TODAY()-E55))</f>
        <v/>
      </c>
      <c r="I55" s="16"/>
      <c r="J55" s="16"/>
      <c r="K55" s="16"/>
      <c r="L55" s="16" t="str">
        <f aca="true">IF(AND(I55="Open",F55&lt;&gt;"",TODAY()&gt;F55),"OVERDUE","")</f>
        <v/>
      </c>
      <c r="M55" s="16"/>
    </row>
    <row r="56" customFormat="false" ht="15" hidden="false" customHeight="false" outlineLevel="0" collapsed="false">
      <c r="A56" s="16"/>
      <c r="B56" s="16"/>
      <c r="C56" s="16"/>
      <c r="D56" s="16"/>
      <c r="E56" s="17"/>
      <c r="F56" s="17"/>
      <c r="G56" s="17"/>
      <c r="H56" s="16" t="str">
        <f aca="true">IF(E56="","",IF(G56&lt;&gt;"",G56-E56,TODAY()-E56))</f>
        <v/>
      </c>
      <c r="I56" s="16"/>
      <c r="J56" s="16"/>
      <c r="K56" s="16"/>
      <c r="L56" s="16" t="str">
        <f aca="true">IF(AND(I56="Open",F56&lt;&gt;"",TODAY()&gt;F56),"OVERDUE","")</f>
        <v/>
      </c>
      <c r="M56" s="16"/>
    </row>
    <row r="57" customFormat="false" ht="15" hidden="false" customHeight="false" outlineLevel="0" collapsed="false">
      <c r="A57" s="16"/>
      <c r="B57" s="16"/>
      <c r="C57" s="16"/>
      <c r="D57" s="16"/>
      <c r="E57" s="17"/>
      <c r="F57" s="17"/>
      <c r="G57" s="17"/>
      <c r="H57" s="16" t="str">
        <f aca="true">IF(E57="","",IF(G57&lt;&gt;"",G57-E57,TODAY()-E57))</f>
        <v/>
      </c>
      <c r="I57" s="16"/>
      <c r="J57" s="16"/>
      <c r="K57" s="16"/>
      <c r="L57" s="16" t="str">
        <f aca="true">IF(AND(I57="Open",F57&lt;&gt;"",TODAY()&gt;F57),"OVERDUE","")</f>
        <v/>
      </c>
      <c r="M57" s="16"/>
    </row>
    <row r="58" customFormat="false" ht="15" hidden="false" customHeight="false" outlineLevel="0" collapsed="false">
      <c r="A58" s="16"/>
      <c r="B58" s="16"/>
      <c r="C58" s="16"/>
      <c r="D58" s="16"/>
      <c r="E58" s="17"/>
      <c r="F58" s="17"/>
      <c r="G58" s="17"/>
      <c r="H58" s="16" t="str">
        <f aca="true">IF(E58="","",IF(G58&lt;&gt;"",G58-E58,TODAY()-E58))</f>
        <v/>
      </c>
      <c r="I58" s="16"/>
      <c r="J58" s="16"/>
      <c r="K58" s="16"/>
      <c r="L58" s="16" t="str">
        <f aca="true">IF(AND(I58="Open",F58&lt;&gt;"",TODAY()&gt;F58),"OVERDUE","")</f>
        <v/>
      </c>
      <c r="M58" s="16"/>
    </row>
    <row r="59" customFormat="false" ht="15" hidden="false" customHeight="false" outlineLevel="0" collapsed="false">
      <c r="A59" s="16"/>
      <c r="B59" s="16"/>
      <c r="C59" s="16"/>
      <c r="D59" s="16"/>
      <c r="E59" s="17"/>
      <c r="F59" s="17"/>
      <c r="G59" s="17"/>
      <c r="H59" s="16" t="str">
        <f aca="true">IF(E59="","",IF(G59&lt;&gt;"",G59-E59,TODAY()-E59))</f>
        <v/>
      </c>
      <c r="I59" s="16"/>
      <c r="J59" s="16"/>
      <c r="K59" s="16"/>
      <c r="L59" s="16" t="str">
        <f aca="true">IF(AND(I59="Open",F59&lt;&gt;"",TODAY()&gt;F59),"OVERDUE","")</f>
        <v/>
      </c>
      <c r="M59" s="16"/>
    </row>
    <row r="60" customFormat="false" ht="15" hidden="false" customHeight="false" outlineLevel="0" collapsed="false">
      <c r="A60" s="16"/>
      <c r="B60" s="16"/>
      <c r="C60" s="16"/>
      <c r="D60" s="16"/>
      <c r="E60" s="17"/>
      <c r="F60" s="17"/>
      <c r="G60" s="17"/>
      <c r="H60" s="16" t="str">
        <f aca="true">IF(E60="","",IF(G60&lt;&gt;"",G60-E60,TODAY()-E60))</f>
        <v/>
      </c>
      <c r="I60" s="16"/>
      <c r="J60" s="16"/>
      <c r="K60" s="16"/>
      <c r="L60" s="16" t="str">
        <f aca="true">IF(AND(I60="Open",F60&lt;&gt;"",TODAY()&gt;F60),"OVERDUE","")</f>
        <v/>
      </c>
      <c r="M60" s="16"/>
    </row>
    <row r="61" customFormat="false" ht="15" hidden="false" customHeight="false" outlineLevel="0" collapsed="false">
      <c r="A61" s="16"/>
      <c r="B61" s="16"/>
      <c r="C61" s="16"/>
      <c r="D61" s="16"/>
      <c r="E61" s="17"/>
      <c r="F61" s="17"/>
      <c r="G61" s="17"/>
      <c r="H61" s="16" t="str">
        <f aca="true">IF(E61="","",IF(G61&lt;&gt;"",G61-E61,TODAY()-E61))</f>
        <v/>
      </c>
      <c r="I61" s="16"/>
      <c r="J61" s="16"/>
      <c r="K61" s="16"/>
      <c r="L61" s="16" t="str">
        <f aca="true">IF(AND(I61="Open",F61&lt;&gt;"",TODAY()&gt;F61),"OVERDUE","")</f>
        <v/>
      </c>
      <c r="M61" s="16"/>
    </row>
    <row r="62" customFormat="false" ht="15" hidden="false" customHeight="false" outlineLevel="0" collapsed="false">
      <c r="A62" s="16"/>
      <c r="B62" s="16"/>
      <c r="C62" s="16"/>
      <c r="D62" s="16"/>
      <c r="E62" s="17"/>
      <c r="F62" s="17"/>
      <c r="G62" s="17"/>
      <c r="H62" s="16" t="str">
        <f aca="true">IF(E62="","",IF(G62&lt;&gt;"",G62-E62,TODAY()-E62))</f>
        <v/>
      </c>
      <c r="I62" s="16"/>
      <c r="J62" s="16"/>
      <c r="K62" s="16"/>
      <c r="L62" s="16" t="str">
        <f aca="true">IF(AND(I62="Open",F62&lt;&gt;"",TODAY()&gt;F62),"OVERDUE","")</f>
        <v/>
      </c>
      <c r="M62" s="16"/>
    </row>
    <row r="63" customFormat="false" ht="15" hidden="false" customHeight="false" outlineLevel="0" collapsed="false">
      <c r="A63" s="16"/>
      <c r="B63" s="16"/>
      <c r="C63" s="16"/>
      <c r="D63" s="16"/>
      <c r="E63" s="17"/>
      <c r="F63" s="17"/>
      <c r="G63" s="17"/>
      <c r="H63" s="16" t="str">
        <f aca="true">IF(E63="","",IF(G63&lt;&gt;"",G63-E63,TODAY()-E63))</f>
        <v/>
      </c>
      <c r="I63" s="16"/>
      <c r="J63" s="16"/>
      <c r="K63" s="16"/>
      <c r="L63" s="16" t="str">
        <f aca="true">IF(AND(I63="Open",F63&lt;&gt;"",TODAY()&gt;F63),"OVERDUE","")</f>
        <v/>
      </c>
      <c r="M63" s="16"/>
    </row>
    <row r="64" customFormat="false" ht="15" hidden="false" customHeight="false" outlineLevel="0" collapsed="false">
      <c r="A64" s="16"/>
      <c r="B64" s="16"/>
      <c r="C64" s="16"/>
      <c r="D64" s="16"/>
      <c r="E64" s="17"/>
      <c r="F64" s="17"/>
      <c r="G64" s="17"/>
      <c r="H64" s="16" t="str">
        <f aca="true">IF(E64="","",IF(G64&lt;&gt;"",G64-E64,TODAY()-E64))</f>
        <v/>
      </c>
      <c r="I64" s="16"/>
      <c r="J64" s="16"/>
      <c r="K64" s="16"/>
      <c r="L64" s="16" t="str">
        <f aca="true">IF(AND(I64="Open",F64&lt;&gt;"",TODAY()&gt;F64),"OVERDUE","")</f>
        <v/>
      </c>
      <c r="M64" s="16"/>
    </row>
    <row r="65" customFormat="false" ht="15" hidden="false" customHeight="false" outlineLevel="0" collapsed="false">
      <c r="A65" s="16"/>
      <c r="B65" s="16"/>
      <c r="C65" s="16"/>
      <c r="D65" s="16"/>
      <c r="E65" s="17"/>
      <c r="F65" s="17"/>
      <c r="G65" s="17"/>
      <c r="H65" s="16" t="str">
        <f aca="true">IF(E65="","",IF(G65&lt;&gt;"",G65-E65,TODAY()-E65))</f>
        <v/>
      </c>
      <c r="I65" s="16"/>
      <c r="J65" s="16"/>
      <c r="K65" s="16"/>
      <c r="L65" s="16" t="str">
        <f aca="true">IF(AND(I65="Open",F65&lt;&gt;"",TODAY()&gt;F65),"OVERDUE","")</f>
        <v/>
      </c>
      <c r="M65" s="16"/>
    </row>
    <row r="66" customFormat="false" ht="15" hidden="false" customHeight="false" outlineLevel="0" collapsed="false">
      <c r="A66" s="16"/>
      <c r="B66" s="16"/>
      <c r="C66" s="16"/>
      <c r="D66" s="16"/>
      <c r="E66" s="17"/>
      <c r="F66" s="17"/>
      <c r="G66" s="17"/>
      <c r="H66" s="16" t="str">
        <f aca="true">IF(E66="","",IF(G66&lt;&gt;"",G66-E66,TODAY()-E66))</f>
        <v/>
      </c>
      <c r="I66" s="16"/>
      <c r="J66" s="16"/>
      <c r="K66" s="16"/>
      <c r="L66" s="16" t="str">
        <f aca="true">IF(AND(I66="Open",F66&lt;&gt;"",TODAY()&gt;F66),"OVERDUE","")</f>
        <v/>
      </c>
      <c r="M66" s="16"/>
    </row>
    <row r="67" customFormat="false" ht="15" hidden="false" customHeight="false" outlineLevel="0" collapsed="false">
      <c r="A67" s="16"/>
      <c r="B67" s="16"/>
      <c r="C67" s="16"/>
      <c r="D67" s="16"/>
      <c r="E67" s="17"/>
      <c r="F67" s="17"/>
      <c r="G67" s="17"/>
      <c r="H67" s="16" t="str">
        <f aca="true">IF(E67="","",IF(G67&lt;&gt;"",G67-E67,TODAY()-E67))</f>
        <v/>
      </c>
      <c r="I67" s="16"/>
      <c r="J67" s="16"/>
      <c r="K67" s="16"/>
      <c r="L67" s="16" t="str">
        <f aca="true">IF(AND(I67="Open",F67&lt;&gt;"",TODAY()&gt;F67),"OVERDUE","")</f>
        <v/>
      </c>
      <c r="M67" s="16"/>
    </row>
    <row r="68" customFormat="false" ht="15" hidden="false" customHeight="false" outlineLevel="0" collapsed="false">
      <c r="A68" s="16"/>
      <c r="B68" s="16"/>
      <c r="C68" s="16"/>
      <c r="D68" s="16"/>
      <c r="E68" s="17"/>
      <c r="F68" s="17"/>
      <c r="G68" s="17"/>
      <c r="H68" s="16" t="str">
        <f aca="true">IF(E68="","",IF(G68&lt;&gt;"",G68-E68,TODAY()-E68))</f>
        <v/>
      </c>
      <c r="I68" s="16"/>
      <c r="J68" s="16"/>
      <c r="K68" s="16"/>
      <c r="L68" s="16" t="str">
        <f aca="true">IF(AND(I68="Open",F68&lt;&gt;"",TODAY()&gt;F68),"OVERDUE","")</f>
        <v/>
      </c>
      <c r="M68" s="16"/>
    </row>
    <row r="69" customFormat="false" ht="15" hidden="false" customHeight="false" outlineLevel="0" collapsed="false">
      <c r="A69" s="16"/>
      <c r="B69" s="16"/>
      <c r="C69" s="16"/>
      <c r="D69" s="16"/>
      <c r="E69" s="17"/>
      <c r="F69" s="17"/>
      <c r="G69" s="17"/>
      <c r="H69" s="16" t="str">
        <f aca="true">IF(E69="","",IF(G69&lt;&gt;"",G69-E69,TODAY()-E69))</f>
        <v/>
      </c>
      <c r="I69" s="16"/>
      <c r="J69" s="16"/>
      <c r="K69" s="16"/>
      <c r="L69" s="16" t="str">
        <f aca="true">IF(AND(I69="Open",F69&lt;&gt;"",TODAY()&gt;F69),"OVERDUE","")</f>
        <v/>
      </c>
      <c r="M69" s="16"/>
    </row>
    <row r="70" customFormat="false" ht="15" hidden="false" customHeight="false" outlineLevel="0" collapsed="false">
      <c r="A70" s="16"/>
      <c r="B70" s="16"/>
      <c r="C70" s="16"/>
      <c r="D70" s="16"/>
      <c r="E70" s="17"/>
      <c r="F70" s="17"/>
      <c r="G70" s="17"/>
      <c r="H70" s="16" t="str">
        <f aca="true">IF(E70="","",IF(G70&lt;&gt;"",G70-E70,TODAY()-E70))</f>
        <v/>
      </c>
      <c r="I70" s="16"/>
      <c r="J70" s="16"/>
      <c r="K70" s="16"/>
      <c r="L70" s="16" t="str">
        <f aca="true">IF(AND(I70="Open",F70&lt;&gt;"",TODAY()&gt;F70),"OVERDUE","")</f>
        <v/>
      </c>
      <c r="M70" s="16"/>
    </row>
    <row r="71" customFormat="false" ht="15" hidden="false" customHeight="false" outlineLevel="0" collapsed="false">
      <c r="A71" s="16"/>
      <c r="B71" s="16"/>
      <c r="C71" s="16"/>
      <c r="D71" s="16"/>
      <c r="E71" s="17"/>
      <c r="F71" s="17"/>
      <c r="G71" s="17"/>
      <c r="H71" s="16" t="str">
        <f aca="true">IF(E71="","",IF(G71&lt;&gt;"",G71-E71,TODAY()-E71))</f>
        <v/>
      </c>
      <c r="I71" s="16"/>
      <c r="J71" s="16"/>
      <c r="K71" s="16"/>
      <c r="L71" s="16" t="str">
        <f aca="true">IF(AND(I71="Open",F71&lt;&gt;"",TODAY()&gt;F71),"OVERDUE","")</f>
        <v/>
      </c>
      <c r="M71" s="16"/>
    </row>
    <row r="72" customFormat="false" ht="15" hidden="false" customHeight="false" outlineLevel="0" collapsed="false">
      <c r="A72" s="16"/>
      <c r="B72" s="16"/>
      <c r="C72" s="16"/>
      <c r="D72" s="16"/>
      <c r="E72" s="17"/>
      <c r="F72" s="17"/>
      <c r="G72" s="17"/>
      <c r="H72" s="16" t="str">
        <f aca="true">IF(E72="","",IF(G72&lt;&gt;"",G72-E72,TODAY()-E72))</f>
        <v/>
      </c>
      <c r="I72" s="16"/>
      <c r="J72" s="16"/>
      <c r="K72" s="16"/>
      <c r="L72" s="16" t="str">
        <f aca="true">IF(AND(I72="Open",F72&lt;&gt;"",TODAY()&gt;F72),"OVERDUE","")</f>
        <v/>
      </c>
      <c r="M72" s="16"/>
    </row>
    <row r="73" customFormat="false" ht="15" hidden="false" customHeight="false" outlineLevel="0" collapsed="false">
      <c r="A73" s="16"/>
      <c r="B73" s="16"/>
      <c r="C73" s="16"/>
      <c r="D73" s="16"/>
      <c r="E73" s="17"/>
      <c r="F73" s="17"/>
      <c r="G73" s="17"/>
      <c r="H73" s="16" t="str">
        <f aca="true">IF(E73="","",IF(G73&lt;&gt;"",G73-E73,TODAY()-E73))</f>
        <v/>
      </c>
      <c r="I73" s="16"/>
      <c r="J73" s="16"/>
      <c r="K73" s="16"/>
      <c r="L73" s="16" t="str">
        <f aca="true">IF(AND(I73="Open",F73&lt;&gt;"",TODAY()&gt;F73),"OVERDUE","")</f>
        <v/>
      </c>
      <c r="M73" s="16"/>
    </row>
    <row r="74" customFormat="false" ht="15" hidden="false" customHeight="false" outlineLevel="0" collapsed="false">
      <c r="A74" s="16"/>
      <c r="B74" s="16"/>
      <c r="C74" s="16"/>
      <c r="D74" s="16"/>
      <c r="E74" s="17"/>
      <c r="F74" s="17"/>
      <c r="G74" s="17"/>
      <c r="H74" s="16" t="str">
        <f aca="true">IF(E74="","",IF(G74&lt;&gt;"",G74-E74,TODAY()-E74))</f>
        <v/>
      </c>
      <c r="I74" s="16"/>
      <c r="J74" s="16"/>
      <c r="K74" s="16"/>
      <c r="L74" s="16" t="str">
        <f aca="true">IF(AND(I74="Open",F74&lt;&gt;"",TODAY()&gt;F74),"OVERDUE","")</f>
        <v/>
      </c>
      <c r="M74" s="16"/>
    </row>
    <row r="75" customFormat="false" ht="15" hidden="false" customHeight="false" outlineLevel="0" collapsed="false">
      <c r="A75" s="16"/>
      <c r="B75" s="16"/>
      <c r="C75" s="16"/>
      <c r="D75" s="16"/>
      <c r="E75" s="17"/>
      <c r="F75" s="17"/>
      <c r="G75" s="17"/>
      <c r="H75" s="16" t="str">
        <f aca="true">IF(E75="","",IF(G75&lt;&gt;"",G75-E75,TODAY()-E75))</f>
        <v/>
      </c>
      <c r="I75" s="16"/>
      <c r="J75" s="16"/>
      <c r="K75" s="16"/>
      <c r="L75" s="16" t="str">
        <f aca="true">IF(AND(I75="Open",F75&lt;&gt;"",TODAY()&gt;F75),"OVERDUE","")</f>
        <v/>
      </c>
      <c r="M75" s="16"/>
    </row>
    <row r="76" customFormat="false" ht="15" hidden="false" customHeight="false" outlineLevel="0" collapsed="false">
      <c r="A76" s="16"/>
      <c r="B76" s="16"/>
      <c r="C76" s="16"/>
      <c r="D76" s="16"/>
      <c r="E76" s="17"/>
      <c r="F76" s="17"/>
      <c r="G76" s="17"/>
      <c r="H76" s="16" t="str">
        <f aca="true">IF(E76="","",IF(G76&lt;&gt;"",G76-E76,TODAY()-E76))</f>
        <v/>
      </c>
      <c r="I76" s="16"/>
      <c r="J76" s="16"/>
      <c r="K76" s="16"/>
      <c r="L76" s="16" t="str">
        <f aca="true">IF(AND(I76="Open",F76&lt;&gt;"",TODAY()&gt;F76),"OVERDUE","")</f>
        <v/>
      </c>
      <c r="M76" s="16"/>
    </row>
    <row r="77" customFormat="false" ht="15" hidden="false" customHeight="false" outlineLevel="0" collapsed="false">
      <c r="A77" s="16"/>
      <c r="B77" s="16"/>
      <c r="C77" s="16"/>
      <c r="D77" s="16"/>
      <c r="E77" s="17"/>
      <c r="F77" s="17"/>
      <c r="G77" s="17"/>
      <c r="H77" s="16" t="str">
        <f aca="true">IF(E77="","",IF(G77&lt;&gt;"",G77-E77,TODAY()-E77))</f>
        <v/>
      </c>
      <c r="I77" s="16"/>
      <c r="J77" s="16"/>
      <c r="K77" s="16"/>
      <c r="L77" s="16" t="str">
        <f aca="true">IF(AND(I77="Open",F77&lt;&gt;"",TODAY()&gt;F77),"OVERDUE","")</f>
        <v/>
      </c>
      <c r="M77" s="16"/>
    </row>
    <row r="78" customFormat="false" ht="15" hidden="false" customHeight="false" outlineLevel="0" collapsed="false">
      <c r="A78" s="16"/>
      <c r="B78" s="16"/>
      <c r="C78" s="16"/>
      <c r="D78" s="16"/>
      <c r="E78" s="17"/>
      <c r="F78" s="17"/>
      <c r="G78" s="17"/>
      <c r="H78" s="16" t="str">
        <f aca="true">IF(E78="","",IF(G78&lt;&gt;"",G78-E78,TODAY()-E78))</f>
        <v/>
      </c>
      <c r="I78" s="16"/>
      <c r="J78" s="16"/>
      <c r="K78" s="16"/>
      <c r="L78" s="16" t="str">
        <f aca="true">IF(AND(I78="Open",F78&lt;&gt;"",TODAY()&gt;F78),"OVERDUE","")</f>
        <v/>
      </c>
      <c r="M78" s="16"/>
    </row>
    <row r="79" customFormat="false" ht="15" hidden="false" customHeight="false" outlineLevel="0" collapsed="false">
      <c r="A79" s="16"/>
      <c r="B79" s="16"/>
      <c r="C79" s="16"/>
      <c r="D79" s="16"/>
      <c r="E79" s="17"/>
      <c r="F79" s="17"/>
      <c r="G79" s="17"/>
      <c r="H79" s="16" t="str">
        <f aca="true">IF(E79="","",IF(G79&lt;&gt;"",G79-E79,TODAY()-E79))</f>
        <v/>
      </c>
      <c r="I79" s="16"/>
      <c r="J79" s="16"/>
      <c r="K79" s="16"/>
      <c r="L79" s="16" t="str">
        <f aca="true">IF(AND(I79="Open",F79&lt;&gt;"",TODAY()&gt;F79),"OVERDUE","")</f>
        <v/>
      </c>
      <c r="M79" s="16"/>
    </row>
    <row r="80" customFormat="false" ht="15" hidden="false" customHeight="false" outlineLevel="0" collapsed="false">
      <c r="A80" s="16"/>
      <c r="B80" s="16"/>
      <c r="C80" s="16"/>
      <c r="D80" s="16"/>
      <c r="E80" s="17"/>
      <c r="F80" s="17"/>
      <c r="G80" s="17"/>
      <c r="H80" s="16" t="str">
        <f aca="true">IF(E80="","",IF(G80&lt;&gt;"",G80-E80,TODAY()-E80))</f>
        <v/>
      </c>
      <c r="I80" s="16"/>
      <c r="J80" s="16"/>
      <c r="K80" s="16"/>
      <c r="L80" s="16" t="str">
        <f aca="true">IF(AND(I80="Open",F80&lt;&gt;"",TODAY()&gt;F80),"OVERDUE","")</f>
        <v/>
      </c>
      <c r="M80" s="16"/>
    </row>
    <row r="81" customFormat="false" ht="15" hidden="false" customHeight="false" outlineLevel="0" collapsed="false">
      <c r="A81" s="16"/>
      <c r="B81" s="16"/>
      <c r="C81" s="16"/>
      <c r="D81" s="16"/>
      <c r="E81" s="17"/>
      <c r="F81" s="17"/>
      <c r="G81" s="17"/>
      <c r="H81" s="16" t="str">
        <f aca="true">IF(E81="","",IF(G81&lt;&gt;"",G81-E81,TODAY()-E81))</f>
        <v/>
      </c>
      <c r="I81" s="16"/>
      <c r="J81" s="16"/>
      <c r="K81" s="16"/>
      <c r="L81" s="16" t="str">
        <f aca="true">IF(AND(I81="Open",F81&lt;&gt;"",TODAY()&gt;F81),"OVERDUE","")</f>
        <v/>
      </c>
      <c r="M81" s="16"/>
    </row>
    <row r="82" customFormat="false" ht="15" hidden="false" customHeight="false" outlineLevel="0" collapsed="false">
      <c r="A82" s="16"/>
      <c r="B82" s="16"/>
      <c r="C82" s="16"/>
      <c r="D82" s="16"/>
      <c r="E82" s="17"/>
      <c r="F82" s="17"/>
      <c r="G82" s="17"/>
      <c r="H82" s="16" t="str">
        <f aca="true">IF(E82="","",IF(G82&lt;&gt;"",G82-E82,TODAY()-E82))</f>
        <v/>
      </c>
      <c r="I82" s="16"/>
      <c r="J82" s="16"/>
      <c r="K82" s="16"/>
      <c r="L82" s="16" t="str">
        <f aca="true">IF(AND(I82="Open",F82&lt;&gt;"",TODAY()&gt;F82),"OVERDUE","")</f>
        <v/>
      </c>
      <c r="M82" s="16"/>
    </row>
    <row r="83" customFormat="false" ht="15" hidden="false" customHeight="false" outlineLevel="0" collapsed="false">
      <c r="A83" s="16"/>
      <c r="B83" s="16"/>
      <c r="C83" s="16"/>
      <c r="D83" s="16"/>
      <c r="E83" s="17"/>
      <c r="F83" s="17"/>
      <c r="G83" s="17"/>
      <c r="H83" s="16" t="str">
        <f aca="true">IF(E83="","",IF(G83&lt;&gt;"",G83-E83,TODAY()-E83))</f>
        <v/>
      </c>
      <c r="I83" s="16"/>
      <c r="J83" s="16"/>
      <c r="K83" s="16"/>
      <c r="L83" s="16" t="str">
        <f aca="true">IF(AND(I83="Open",F83&lt;&gt;"",TODAY()&gt;F83),"OVERDUE","")</f>
        <v/>
      </c>
      <c r="M83" s="16"/>
    </row>
    <row r="84" customFormat="false" ht="15" hidden="false" customHeight="false" outlineLevel="0" collapsed="false">
      <c r="A84" s="16"/>
      <c r="B84" s="16"/>
      <c r="C84" s="16"/>
      <c r="D84" s="16"/>
      <c r="E84" s="17"/>
      <c r="F84" s="17"/>
      <c r="G84" s="17"/>
      <c r="H84" s="16" t="str">
        <f aca="true">IF(E84="","",IF(G84&lt;&gt;"",G84-E84,TODAY()-E84))</f>
        <v/>
      </c>
      <c r="I84" s="16"/>
      <c r="J84" s="16"/>
      <c r="K84" s="16"/>
      <c r="L84" s="16" t="str">
        <f aca="true">IF(AND(I84="Open",F84&lt;&gt;"",TODAY()&gt;F84),"OVERDUE","")</f>
        <v/>
      </c>
      <c r="M84" s="16"/>
    </row>
    <row r="85" customFormat="false" ht="15" hidden="false" customHeight="false" outlineLevel="0" collapsed="false">
      <c r="A85" s="16"/>
      <c r="B85" s="16"/>
      <c r="C85" s="16"/>
      <c r="D85" s="16"/>
      <c r="E85" s="17"/>
      <c r="F85" s="17"/>
      <c r="G85" s="17"/>
      <c r="H85" s="16" t="str">
        <f aca="true">IF(E85="","",IF(G85&lt;&gt;"",G85-E85,TODAY()-E85))</f>
        <v/>
      </c>
      <c r="I85" s="16"/>
      <c r="J85" s="16"/>
      <c r="K85" s="16"/>
      <c r="L85" s="16" t="str">
        <f aca="true">IF(AND(I85="Open",F85&lt;&gt;"",TODAY()&gt;F85),"OVERDUE","")</f>
        <v/>
      </c>
      <c r="M85" s="16"/>
    </row>
    <row r="86" customFormat="false" ht="15" hidden="false" customHeight="false" outlineLevel="0" collapsed="false">
      <c r="A86" s="16"/>
      <c r="B86" s="16"/>
      <c r="C86" s="16"/>
      <c r="D86" s="16"/>
      <c r="E86" s="17"/>
      <c r="F86" s="17"/>
      <c r="G86" s="17"/>
      <c r="H86" s="16" t="str">
        <f aca="true">IF(E86="","",IF(G86&lt;&gt;"",G86-E86,TODAY()-E86))</f>
        <v/>
      </c>
      <c r="I86" s="16"/>
      <c r="J86" s="16"/>
      <c r="K86" s="16"/>
      <c r="L86" s="16" t="str">
        <f aca="true">IF(AND(I86="Open",F86&lt;&gt;"",TODAY()&gt;F86),"OVERDUE","")</f>
        <v/>
      </c>
      <c r="M86" s="16"/>
    </row>
    <row r="87" customFormat="false" ht="15" hidden="false" customHeight="false" outlineLevel="0" collapsed="false">
      <c r="A87" s="16"/>
      <c r="B87" s="16"/>
      <c r="C87" s="16"/>
      <c r="D87" s="16"/>
      <c r="E87" s="17"/>
      <c r="F87" s="17"/>
      <c r="G87" s="17"/>
      <c r="H87" s="16" t="str">
        <f aca="true">IF(E87="","",IF(G87&lt;&gt;"",G87-E87,TODAY()-E87))</f>
        <v/>
      </c>
      <c r="I87" s="16"/>
      <c r="J87" s="16"/>
      <c r="K87" s="16"/>
      <c r="L87" s="16" t="str">
        <f aca="true">IF(AND(I87="Open",F87&lt;&gt;"",TODAY()&gt;F87),"OVERDUE","")</f>
        <v/>
      </c>
      <c r="M87" s="16"/>
    </row>
    <row r="88" customFormat="false" ht="15" hidden="false" customHeight="false" outlineLevel="0" collapsed="false">
      <c r="A88" s="16"/>
      <c r="B88" s="16"/>
      <c r="C88" s="16"/>
      <c r="D88" s="16"/>
      <c r="E88" s="17"/>
      <c r="F88" s="17"/>
      <c r="G88" s="17"/>
      <c r="H88" s="16" t="str">
        <f aca="true">IF(E88="","",IF(G88&lt;&gt;"",G88-E88,TODAY()-E88))</f>
        <v/>
      </c>
      <c r="I88" s="16"/>
      <c r="J88" s="16"/>
      <c r="K88" s="16"/>
      <c r="L88" s="16" t="str">
        <f aca="true">IF(AND(I88="Open",F88&lt;&gt;"",TODAY()&gt;F88),"OVERDUE","")</f>
        <v/>
      </c>
      <c r="M88" s="16"/>
    </row>
    <row r="89" customFormat="false" ht="15" hidden="false" customHeight="false" outlineLevel="0" collapsed="false">
      <c r="A89" s="16"/>
      <c r="B89" s="16"/>
      <c r="C89" s="16"/>
      <c r="D89" s="16"/>
      <c r="E89" s="17"/>
      <c r="F89" s="17"/>
      <c r="G89" s="17"/>
      <c r="H89" s="16" t="str">
        <f aca="true">IF(E89="","",IF(G89&lt;&gt;"",G89-E89,TODAY()-E89))</f>
        <v/>
      </c>
      <c r="I89" s="16"/>
      <c r="J89" s="16"/>
      <c r="K89" s="16"/>
      <c r="L89" s="16" t="str">
        <f aca="true">IF(AND(I89="Open",F89&lt;&gt;"",TODAY()&gt;F89),"OVERDUE","")</f>
        <v/>
      </c>
      <c r="M89" s="16"/>
    </row>
    <row r="90" customFormat="false" ht="15" hidden="false" customHeight="false" outlineLevel="0" collapsed="false">
      <c r="A90" s="16"/>
      <c r="B90" s="16"/>
      <c r="C90" s="16"/>
      <c r="D90" s="16"/>
      <c r="E90" s="17"/>
      <c r="F90" s="17"/>
      <c r="G90" s="17"/>
      <c r="H90" s="16" t="str">
        <f aca="true">IF(E90="","",IF(G90&lt;&gt;"",G90-E90,TODAY()-E90))</f>
        <v/>
      </c>
      <c r="I90" s="16"/>
      <c r="J90" s="16"/>
      <c r="K90" s="16"/>
      <c r="L90" s="16" t="str">
        <f aca="true">IF(AND(I90="Open",F90&lt;&gt;"",TODAY()&gt;F90),"OVERDUE","")</f>
        <v/>
      </c>
      <c r="M90" s="16"/>
    </row>
    <row r="91" customFormat="false" ht="15" hidden="false" customHeight="false" outlineLevel="0" collapsed="false">
      <c r="A91" s="16"/>
      <c r="B91" s="16"/>
      <c r="C91" s="16"/>
      <c r="D91" s="16"/>
      <c r="E91" s="17"/>
      <c r="F91" s="17"/>
      <c r="G91" s="17"/>
      <c r="H91" s="16" t="str">
        <f aca="true">IF(E91="","",IF(G91&lt;&gt;"",G91-E91,TODAY()-E91))</f>
        <v/>
      </c>
      <c r="I91" s="16"/>
      <c r="J91" s="16"/>
      <c r="K91" s="16"/>
      <c r="L91" s="16" t="str">
        <f aca="true">IF(AND(I91="Open",F91&lt;&gt;"",TODAY()&gt;F91),"OVERDUE","")</f>
        <v/>
      </c>
      <c r="M91" s="16"/>
    </row>
    <row r="92" customFormat="false" ht="15" hidden="false" customHeight="false" outlineLevel="0" collapsed="false">
      <c r="A92" s="16"/>
      <c r="B92" s="16"/>
      <c r="C92" s="16"/>
      <c r="D92" s="16"/>
      <c r="E92" s="17"/>
      <c r="F92" s="17"/>
      <c r="G92" s="17"/>
      <c r="H92" s="16" t="str">
        <f aca="true">IF(E92="","",IF(G92&lt;&gt;"",G92-E92,TODAY()-E92))</f>
        <v/>
      </c>
      <c r="I92" s="16"/>
      <c r="J92" s="16"/>
      <c r="K92" s="16"/>
      <c r="L92" s="16" t="str">
        <f aca="true">IF(AND(I92="Open",F92&lt;&gt;"",TODAY()&gt;F92),"OVERDUE","")</f>
        <v/>
      </c>
      <c r="M92" s="16"/>
    </row>
    <row r="93" customFormat="false" ht="15" hidden="false" customHeight="false" outlineLevel="0" collapsed="false">
      <c r="A93" s="16"/>
      <c r="B93" s="16"/>
      <c r="C93" s="16"/>
      <c r="D93" s="16"/>
      <c r="E93" s="17"/>
      <c r="F93" s="17"/>
      <c r="G93" s="17"/>
      <c r="H93" s="16" t="str">
        <f aca="true">IF(E93="","",IF(G93&lt;&gt;"",G93-E93,TODAY()-E93))</f>
        <v/>
      </c>
      <c r="I93" s="16"/>
      <c r="J93" s="16"/>
      <c r="K93" s="16"/>
      <c r="L93" s="16" t="str">
        <f aca="true">IF(AND(I93="Open",F93&lt;&gt;"",TODAY()&gt;F93),"OVERDUE","")</f>
        <v/>
      </c>
      <c r="M93" s="16"/>
    </row>
    <row r="94" customFormat="false" ht="15" hidden="false" customHeight="false" outlineLevel="0" collapsed="false">
      <c r="A94" s="16"/>
      <c r="B94" s="16"/>
      <c r="C94" s="16"/>
      <c r="D94" s="16"/>
      <c r="E94" s="17"/>
      <c r="F94" s="17"/>
      <c r="G94" s="17"/>
      <c r="H94" s="16" t="str">
        <f aca="true">IF(E94="","",IF(G94&lt;&gt;"",G94-E94,TODAY()-E94))</f>
        <v/>
      </c>
      <c r="I94" s="16"/>
      <c r="J94" s="16"/>
      <c r="K94" s="16"/>
      <c r="L94" s="16" t="str">
        <f aca="true">IF(AND(I94="Open",F94&lt;&gt;"",TODAY()&gt;F94),"OVERDUE","")</f>
        <v/>
      </c>
      <c r="M94" s="16"/>
    </row>
    <row r="95" customFormat="false" ht="15" hidden="false" customHeight="false" outlineLevel="0" collapsed="false">
      <c r="A95" s="16"/>
      <c r="B95" s="16"/>
      <c r="C95" s="16"/>
      <c r="D95" s="16"/>
      <c r="E95" s="17"/>
      <c r="F95" s="17"/>
      <c r="G95" s="17"/>
      <c r="H95" s="16" t="str">
        <f aca="true">IF(E95="","",IF(G95&lt;&gt;"",G95-E95,TODAY()-E95))</f>
        <v/>
      </c>
      <c r="I95" s="16"/>
      <c r="J95" s="16"/>
      <c r="K95" s="16"/>
      <c r="L95" s="16" t="str">
        <f aca="true">IF(AND(I95="Open",F95&lt;&gt;"",TODAY()&gt;F95),"OVERDUE","")</f>
        <v/>
      </c>
      <c r="M95" s="16"/>
    </row>
    <row r="96" customFormat="false" ht="15" hidden="false" customHeight="false" outlineLevel="0" collapsed="false">
      <c r="A96" s="16"/>
      <c r="B96" s="16"/>
      <c r="C96" s="16"/>
      <c r="D96" s="16"/>
      <c r="E96" s="17"/>
      <c r="F96" s="17"/>
      <c r="G96" s="17"/>
      <c r="H96" s="16" t="str">
        <f aca="true">IF(E96="","",IF(G96&lt;&gt;"",G96-E96,TODAY()-E96))</f>
        <v/>
      </c>
      <c r="I96" s="16"/>
      <c r="J96" s="16"/>
      <c r="K96" s="16"/>
      <c r="L96" s="16" t="str">
        <f aca="true">IF(AND(I96="Open",F96&lt;&gt;"",TODAY()&gt;F96),"OVERDUE","")</f>
        <v/>
      </c>
      <c r="M96" s="16"/>
    </row>
    <row r="97" customFormat="false" ht="15" hidden="false" customHeight="false" outlineLevel="0" collapsed="false">
      <c r="A97" s="16"/>
      <c r="B97" s="16"/>
      <c r="C97" s="16"/>
      <c r="D97" s="16"/>
      <c r="E97" s="17"/>
      <c r="F97" s="17"/>
      <c r="G97" s="17"/>
      <c r="H97" s="16" t="str">
        <f aca="true">IF(E97="","",IF(G97&lt;&gt;"",G97-E97,TODAY()-E97))</f>
        <v/>
      </c>
      <c r="I97" s="16"/>
      <c r="J97" s="16"/>
      <c r="K97" s="16"/>
      <c r="L97" s="16" t="str">
        <f aca="true">IF(AND(I97="Open",F97&lt;&gt;"",TODAY()&gt;F97),"OVERDUE","")</f>
        <v/>
      </c>
      <c r="M97" s="16"/>
    </row>
    <row r="98" customFormat="false" ht="15" hidden="false" customHeight="false" outlineLevel="0" collapsed="false">
      <c r="A98" s="16"/>
      <c r="B98" s="16"/>
      <c r="C98" s="16"/>
      <c r="D98" s="16"/>
      <c r="E98" s="17"/>
      <c r="F98" s="17"/>
      <c r="G98" s="17"/>
      <c r="H98" s="16" t="str">
        <f aca="true">IF(E98="","",IF(G98&lt;&gt;"",G98-E98,TODAY()-E98))</f>
        <v/>
      </c>
      <c r="I98" s="16"/>
      <c r="J98" s="16"/>
      <c r="K98" s="16"/>
      <c r="L98" s="16" t="str">
        <f aca="true">IF(AND(I98="Open",F98&lt;&gt;"",TODAY()&gt;F98),"OVERDUE","")</f>
        <v/>
      </c>
      <c r="M98" s="16"/>
    </row>
    <row r="99" customFormat="false" ht="15" hidden="false" customHeight="false" outlineLevel="0" collapsed="false">
      <c r="A99" s="16"/>
      <c r="B99" s="16"/>
      <c r="C99" s="16"/>
      <c r="D99" s="16"/>
      <c r="E99" s="17"/>
      <c r="F99" s="17"/>
      <c r="G99" s="17"/>
      <c r="H99" s="16" t="str">
        <f aca="true">IF(E99="","",IF(G99&lt;&gt;"",G99-E99,TODAY()-E99))</f>
        <v/>
      </c>
      <c r="I99" s="16"/>
      <c r="J99" s="16"/>
      <c r="K99" s="16"/>
      <c r="L99" s="16" t="str">
        <f aca="true">IF(AND(I99="Open",F99&lt;&gt;"",TODAY()&gt;F99),"OVERDUE","")</f>
        <v/>
      </c>
      <c r="M99" s="16"/>
    </row>
    <row r="100" customFormat="false" ht="15" hidden="false" customHeight="false" outlineLevel="0" collapsed="false">
      <c r="A100" s="16"/>
      <c r="B100" s="16"/>
      <c r="C100" s="16"/>
      <c r="D100" s="16"/>
      <c r="E100" s="17"/>
      <c r="F100" s="17"/>
      <c r="G100" s="17"/>
      <c r="H100" s="16" t="str">
        <f aca="true">IF(E100="","",IF(G100&lt;&gt;"",G100-E100,TODAY()-E100))</f>
        <v/>
      </c>
      <c r="I100" s="16"/>
      <c r="J100" s="16"/>
      <c r="K100" s="16"/>
      <c r="L100" s="16" t="str">
        <f aca="true">IF(AND(I100="Open",F100&lt;&gt;"",TODAY()&gt;F100),"OVERDUE","")</f>
        <v/>
      </c>
      <c r="M100" s="16"/>
    </row>
    <row r="101" customFormat="false" ht="15" hidden="false" customHeight="false" outlineLevel="0" collapsed="false">
      <c r="A101" s="16"/>
      <c r="B101" s="16"/>
      <c r="C101" s="16"/>
      <c r="D101" s="16"/>
      <c r="E101" s="17"/>
      <c r="F101" s="17"/>
      <c r="G101" s="17"/>
      <c r="H101" s="16" t="str">
        <f aca="true">IF(E101="","",IF(G101&lt;&gt;"",G101-E101,TODAY()-E101))</f>
        <v/>
      </c>
      <c r="I101" s="16"/>
      <c r="J101" s="16"/>
      <c r="K101" s="16"/>
      <c r="L101" s="16" t="str">
        <f aca="true">IF(AND(I101="Open",F101&lt;&gt;"",TODAY()&gt;F101),"OVERDUE","")</f>
        <v/>
      </c>
      <c r="M101" s="16"/>
    </row>
    <row r="102" customFormat="false" ht="15" hidden="false" customHeight="false" outlineLevel="0" collapsed="false">
      <c r="A102" s="16"/>
      <c r="B102" s="16"/>
      <c r="C102" s="16"/>
      <c r="D102" s="16"/>
      <c r="E102" s="17"/>
      <c r="F102" s="17"/>
      <c r="G102" s="17"/>
      <c r="H102" s="16" t="str">
        <f aca="true">IF(E102="","",IF(G102&lt;&gt;"",G102-E102,TODAY()-E102))</f>
        <v/>
      </c>
      <c r="I102" s="16"/>
      <c r="J102" s="16"/>
      <c r="K102" s="16"/>
      <c r="L102" s="16" t="str">
        <f aca="true">IF(AND(I102="Open",F102&lt;&gt;"",TODAY()&gt;F102),"OVERDUE","")</f>
        <v/>
      </c>
      <c r="M102" s="16"/>
    </row>
    <row r="103" customFormat="false" ht="15" hidden="false" customHeight="false" outlineLevel="0" collapsed="false">
      <c r="A103" s="16"/>
      <c r="B103" s="16"/>
      <c r="C103" s="16"/>
      <c r="D103" s="16"/>
      <c r="E103" s="17"/>
      <c r="F103" s="17"/>
      <c r="G103" s="17"/>
      <c r="H103" s="16" t="str">
        <f aca="true">IF(E103="","",IF(G103&lt;&gt;"",G103-E103,TODAY()-E103))</f>
        <v/>
      </c>
      <c r="I103" s="16"/>
      <c r="J103" s="16"/>
      <c r="K103" s="16"/>
      <c r="L103" s="16" t="str">
        <f aca="true">IF(AND(I103="Open",F103&lt;&gt;"",TODAY()&gt;F103),"OVERDUE","")</f>
        <v/>
      </c>
      <c r="M103" s="16"/>
    </row>
    <row r="104" customFormat="false" ht="15" hidden="false" customHeight="false" outlineLevel="0" collapsed="false">
      <c r="A104" s="16"/>
      <c r="B104" s="16"/>
      <c r="C104" s="16"/>
      <c r="D104" s="16"/>
      <c r="E104" s="17"/>
      <c r="F104" s="17"/>
      <c r="G104" s="17"/>
      <c r="H104" s="16" t="str">
        <f aca="true">IF(E104="","",IF(G104&lt;&gt;"",G104-E104,TODAY()-E104))</f>
        <v/>
      </c>
      <c r="I104" s="16"/>
      <c r="J104" s="16"/>
      <c r="K104" s="16"/>
      <c r="L104" s="16" t="str">
        <f aca="true">IF(AND(I104="Open",F104&lt;&gt;"",TODAY()&gt;F104),"OVERDUE","")</f>
        <v/>
      </c>
      <c r="M104" s="16"/>
    </row>
    <row r="105" customFormat="false" ht="15" hidden="false" customHeight="false" outlineLevel="0" collapsed="false">
      <c r="A105" s="16"/>
      <c r="B105" s="16"/>
      <c r="C105" s="16"/>
      <c r="D105" s="16"/>
      <c r="E105" s="17"/>
      <c r="F105" s="17"/>
      <c r="G105" s="17"/>
      <c r="H105" s="16" t="str">
        <f aca="true">IF(E105="","",IF(G105&lt;&gt;"",G105-E105,TODAY()-E105))</f>
        <v/>
      </c>
      <c r="I105" s="16"/>
      <c r="J105" s="16"/>
      <c r="K105" s="16"/>
      <c r="L105" s="16" t="str">
        <f aca="true">IF(AND(I105="Open",F105&lt;&gt;"",TODAY()&gt;F105),"OVERDUE","")</f>
        <v/>
      </c>
      <c r="M105" s="16"/>
    </row>
    <row r="106" customFormat="false" ht="15" hidden="false" customHeight="false" outlineLevel="0" collapsed="false">
      <c r="A106" s="16"/>
      <c r="B106" s="16"/>
      <c r="C106" s="16"/>
      <c r="D106" s="16"/>
      <c r="E106" s="17"/>
      <c r="F106" s="17"/>
      <c r="G106" s="17"/>
      <c r="H106" s="16" t="str">
        <f aca="true">IF(E106="","",IF(G106&lt;&gt;"",G106-E106,TODAY()-E106))</f>
        <v/>
      </c>
      <c r="I106" s="16"/>
      <c r="J106" s="16"/>
      <c r="K106" s="16"/>
      <c r="L106" s="16" t="str">
        <f aca="true">IF(AND(I106="Open",F106&lt;&gt;"",TODAY()&gt;F106),"OVERDUE","")</f>
        <v/>
      </c>
      <c r="M106" s="16"/>
    </row>
    <row r="107" customFormat="false" ht="15" hidden="false" customHeight="false" outlineLevel="0" collapsed="false">
      <c r="A107" s="16"/>
      <c r="B107" s="16"/>
      <c r="C107" s="16"/>
      <c r="D107" s="16"/>
      <c r="E107" s="17"/>
      <c r="F107" s="17"/>
      <c r="G107" s="17"/>
      <c r="H107" s="16" t="str">
        <f aca="true">IF(E107="","",IF(G107&lt;&gt;"",G107-E107,TODAY()-E107))</f>
        <v/>
      </c>
      <c r="I107" s="16"/>
      <c r="J107" s="16"/>
      <c r="K107" s="16"/>
      <c r="L107" s="16" t="str">
        <f aca="true">IF(AND(I107="Open",F107&lt;&gt;"",TODAY()&gt;F107),"OVERDUE","")</f>
        <v/>
      </c>
      <c r="M107" s="16"/>
    </row>
    <row r="108" customFormat="false" ht="15" hidden="false" customHeight="false" outlineLevel="0" collapsed="false">
      <c r="A108" s="16"/>
      <c r="B108" s="16"/>
      <c r="C108" s="16"/>
      <c r="D108" s="16"/>
      <c r="E108" s="17"/>
      <c r="F108" s="17"/>
      <c r="G108" s="17"/>
      <c r="H108" s="16" t="str">
        <f aca="true">IF(E108="","",IF(G108&lt;&gt;"",G108-E108,TODAY()-E108))</f>
        <v/>
      </c>
      <c r="I108" s="16"/>
      <c r="J108" s="16"/>
      <c r="K108" s="16"/>
      <c r="L108" s="16" t="str">
        <f aca="true">IF(AND(I108="Open",F108&lt;&gt;"",TODAY()&gt;F108),"OVERDUE","")</f>
        <v/>
      </c>
      <c r="M108" s="16"/>
    </row>
    <row r="109" customFormat="false" ht="15" hidden="false" customHeight="false" outlineLevel="0" collapsed="false">
      <c r="A109" s="16"/>
      <c r="B109" s="16"/>
      <c r="C109" s="16"/>
      <c r="D109" s="16"/>
      <c r="E109" s="17"/>
      <c r="F109" s="17"/>
      <c r="G109" s="17"/>
      <c r="H109" s="16" t="str">
        <f aca="true">IF(E109="","",IF(G109&lt;&gt;"",G109-E109,TODAY()-E109))</f>
        <v/>
      </c>
      <c r="I109" s="16"/>
      <c r="J109" s="16"/>
      <c r="K109" s="16"/>
      <c r="L109" s="16" t="str">
        <f aca="true">IF(AND(I109="Open",F109&lt;&gt;"",TODAY()&gt;F109),"OVERDUE","")</f>
        <v/>
      </c>
      <c r="M109" s="16"/>
    </row>
    <row r="110" customFormat="false" ht="15" hidden="false" customHeight="false" outlineLevel="0" collapsed="false">
      <c r="A110" s="16"/>
      <c r="B110" s="16"/>
      <c r="C110" s="16"/>
      <c r="D110" s="16"/>
      <c r="E110" s="17"/>
      <c r="F110" s="17"/>
      <c r="G110" s="17"/>
      <c r="H110" s="16" t="str">
        <f aca="true">IF(E110="","",IF(G110&lt;&gt;"",G110-E110,TODAY()-E110))</f>
        <v/>
      </c>
      <c r="I110" s="16"/>
      <c r="J110" s="16"/>
      <c r="K110" s="16"/>
      <c r="L110" s="16" t="str">
        <f aca="true">IF(AND(I110="Open",F110&lt;&gt;"",TODAY()&gt;F110),"OVERDUE","")</f>
        <v/>
      </c>
      <c r="M110" s="16"/>
    </row>
    <row r="111" customFormat="false" ht="15" hidden="false" customHeight="false" outlineLevel="0" collapsed="false">
      <c r="A111" s="16"/>
      <c r="B111" s="16"/>
      <c r="C111" s="16"/>
      <c r="D111" s="16"/>
      <c r="E111" s="17"/>
      <c r="F111" s="17"/>
      <c r="G111" s="17"/>
      <c r="H111" s="16" t="str">
        <f aca="true">IF(E111="","",IF(G111&lt;&gt;"",G111-E111,TODAY()-E111))</f>
        <v/>
      </c>
      <c r="I111" s="16"/>
      <c r="J111" s="16"/>
      <c r="K111" s="16"/>
      <c r="L111" s="16" t="str">
        <f aca="true">IF(AND(I111="Open",F111&lt;&gt;"",TODAY()&gt;F111),"OVERDUE","")</f>
        <v/>
      </c>
      <c r="M111" s="16"/>
    </row>
    <row r="112" customFormat="false" ht="15" hidden="false" customHeight="false" outlineLevel="0" collapsed="false">
      <c r="A112" s="16"/>
      <c r="B112" s="16"/>
      <c r="C112" s="16"/>
      <c r="D112" s="16"/>
      <c r="E112" s="17"/>
      <c r="F112" s="17"/>
      <c r="G112" s="17"/>
      <c r="H112" s="16" t="str">
        <f aca="true">IF(E112="","",IF(G112&lt;&gt;"",G112-E112,TODAY()-E112))</f>
        <v/>
      </c>
      <c r="I112" s="16"/>
      <c r="J112" s="16"/>
      <c r="K112" s="16"/>
      <c r="L112" s="16" t="str">
        <f aca="true">IF(AND(I112="Open",F112&lt;&gt;"",TODAY()&gt;F112),"OVERDUE","")</f>
        <v/>
      </c>
      <c r="M112" s="16"/>
    </row>
    <row r="113" customFormat="false" ht="15" hidden="false" customHeight="false" outlineLevel="0" collapsed="false">
      <c r="A113" s="16"/>
      <c r="B113" s="16"/>
      <c r="C113" s="16"/>
      <c r="D113" s="16"/>
      <c r="E113" s="17"/>
      <c r="F113" s="17"/>
      <c r="G113" s="17"/>
      <c r="H113" s="16" t="str">
        <f aca="true">IF(E113="","",IF(G113&lt;&gt;"",G113-E113,TODAY()-E113))</f>
        <v/>
      </c>
      <c r="I113" s="16"/>
      <c r="J113" s="16"/>
      <c r="K113" s="16"/>
      <c r="L113" s="16" t="str">
        <f aca="true">IF(AND(I113="Open",F113&lt;&gt;"",TODAY()&gt;F113),"OVERDUE","")</f>
        <v/>
      </c>
      <c r="M113" s="16"/>
    </row>
    <row r="114" customFormat="false" ht="15" hidden="false" customHeight="false" outlineLevel="0" collapsed="false">
      <c r="A114" s="16"/>
      <c r="B114" s="16"/>
      <c r="C114" s="16"/>
      <c r="D114" s="16"/>
      <c r="E114" s="17"/>
      <c r="F114" s="17"/>
      <c r="G114" s="17"/>
      <c r="H114" s="16" t="str">
        <f aca="true">IF(E114="","",IF(G114&lt;&gt;"",G114-E114,TODAY()-E114))</f>
        <v/>
      </c>
      <c r="I114" s="16"/>
      <c r="J114" s="16"/>
      <c r="K114" s="16"/>
      <c r="L114" s="16" t="str">
        <f aca="true">IF(AND(I114="Open",F114&lt;&gt;"",TODAY()&gt;F114),"OVERDUE","")</f>
        <v/>
      </c>
      <c r="M114" s="16"/>
    </row>
    <row r="115" customFormat="false" ht="15" hidden="false" customHeight="false" outlineLevel="0" collapsed="false">
      <c r="A115" s="16"/>
      <c r="B115" s="16"/>
      <c r="C115" s="16"/>
      <c r="D115" s="16"/>
      <c r="E115" s="17"/>
      <c r="F115" s="17"/>
      <c r="G115" s="17"/>
      <c r="H115" s="16" t="str">
        <f aca="true">IF(E115="","",IF(G115&lt;&gt;"",G115-E115,TODAY()-E115))</f>
        <v/>
      </c>
      <c r="I115" s="16"/>
      <c r="J115" s="16"/>
      <c r="K115" s="16"/>
      <c r="L115" s="16" t="str">
        <f aca="true">IF(AND(I115="Open",F115&lt;&gt;"",TODAY()&gt;F115),"OVERDUE","")</f>
        <v/>
      </c>
      <c r="M115" s="16"/>
    </row>
    <row r="116" customFormat="false" ht="15" hidden="false" customHeight="false" outlineLevel="0" collapsed="false">
      <c r="A116" s="16"/>
      <c r="B116" s="16"/>
      <c r="C116" s="16"/>
      <c r="D116" s="16"/>
      <c r="E116" s="17"/>
      <c r="F116" s="17"/>
      <c r="G116" s="17"/>
      <c r="H116" s="16" t="str">
        <f aca="true">IF(E116="","",IF(G116&lt;&gt;"",G116-E116,TODAY()-E116))</f>
        <v/>
      </c>
      <c r="I116" s="16"/>
      <c r="J116" s="16"/>
      <c r="K116" s="16"/>
      <c r="L116" s="16" t="str">
        <f aca="true">IF(AND(I116="Open",F116&lt;&gt;"",TODAY()&gt;F116),"OVERDUE","")</f>
        <v/>
      </c>
      <c r="M116" s="16"/>
    </row>
    <row r="117" customFormat="false" ht="15" hidden="false" customHeight="false" outlineLevel="0" collapsed="false">
      <c r="A117" s="16"/>
      <c r="B117" s="16"/>
      <c r="C117" s="16"/>
      <c r="D117" s="16"/>
      <c r="E117" s="17"/>
      <c r="F117" s="17"/>
      <c r="G117" s="17"/>
      <c r="H117" s="16" t="str">
        <f aca="true">IF(E117="","",IF(G117&lt;&gt;"",G117-E117,TODAY()-E117))</f>
        <v/>
      </c>
      <c r="I117" s="16"/>
      <c r="J117" s="16"/>
      <c r="K117" s="16"/>
      <c r="L117" s="16" t="str">
        <f aca="true">IF(AND(I117="Open",F117&lt;&gt;"",TODAY()&gt;F117),"OVERDUE","")</f>
        <v/>
      </c>
      <c r="M117" s="16"/>
    </row>
    <row r="118" customFormat="false" ht="15" hidden="false" customHeight="false" outlineLevel="0" collapsed="false">
      <c r="A118" s="16"/>
      <c r="B118" s="16"/>
      <c r="C118" s="16"/>
      <c r="D118" s="16"/>
      <c r="E118" s="17"/>
      <c r="F118" s="17"/>
      <c r="G118" s="17"/>
      <c r="H118" s="16" t="str">
        <f aca="true">IF(E118="","",IF(G118&lt;&gt;"",G118-E118,TODAY()-E118))</f>
        <v/>
      </c>
      <c r="I118" s="16"/>
      <c r="J118" s="16"/>
      <c r="K118" s="16"/>
      <c r="L118" s="16" t="str">
        <f aca="true">IF(AND(I118="Open",F118&lt;&gt;"",TODAY()&gt;F118),"OVERDUE","")</f>
        <v/>
      </c>
      <c r="M118" s="16"/>
    </row>
    <row r="119" customFormat="false" ht="15" hidden="false" customHeight="false" outlineLevel="0" collapsed="false">
      <c r="A119" s="16"/>
      <c r="B119" s="16"/>
      <c r="C119" s="16"/>
      <c r="D119" s="16"/>
      <c r="E119" s="17"/>
      <c r="F119" s="17"/>
      <c r="G119" s="17"/>
      <c r="H119" s="16" t="str">
        <f aca="true">IF(E119="","",IF(G119&lt;&gt;"",G119-E119,TODAY()-E119))</f>
        <v/>
      </c>
      <c r="I119" s="16"/>
      <c r="J119" s="16"/>
      <c r="K119" s="16"/>
      <c r="L119" s="16" t="str">
        <f aca="true">IF(AND(I119="Open",F119&lt;&gt;"",TODAY()&gt;F119),"OVERDUE","")</f>
        <v/>
      </c>
      <c r="M119" s="16"/>
    </row>
    <row r="120" customFormat="false" ht="15" hidden="false" customHeight="false" outlineLevel="0" collapsed="false">
      <c r="A120" s="16"/>
      <c r="B120" s="16"/>
      <c r="C120" s="16"/>
      <c r="D120" s="16"/>
      <c r="E120" s="17"/>
      <c r="F120" s="17"/>
      <c r="G120" s="17"/>
      <c r="H120" s="16" t="str">
        <f aca="true">IF(E120="","",IF(G120&lt;&gt;"",G120-E120,TODAY()-E120))</f>
        <v/>
      </c>
      <c r="I120" s="16"/>
      <c r="J120" s="16"/>
      <c r="K120" s="16"/>
      <c r="L120" s="16" t="str">
        <f aca="true">IF(AND(I120="Open",F120&lt;&gt;"",TODAY()&gt;F120),"OVERDUE","")</f>
        <v/>
      </c>
      <c r="M120" s="16"/>
    </row>
    <row r="121" customFormat="false" ht="15" hidden="false" customHeight="false" outlineLevel="0" collapsed="false">
      <c r="A121" s="16"/>
      <c r="B121" s="16"/>
      <c r="C121" s="16"/>
      <c r="D121" s="16"/>
      <c r="E121" s="17"/>
      <c r="F121" s="17"/>
      <c r="G121" s="17"/>
      <c r="H121" s="16" t="str">
        <f aca="true">IF(E121="","",IF(G121&lt;&gt;"",G121-E121,TODAY()-E121))</f>
        <v/>
      </c>
      <c r="I121" s="16"/>
      <c r="J121" s="16"/>
      <c r="K121" s="16"/>
      <c r="L121" s="16" t="str">
        <f aca="true">IF(AND(I121="Open",F121&lt;&gt;"",TODAY()&gt;F121),"OVERDUE","")</f>
        <v/>
      </c>
      <c r="M121" s="16"/>
    </row>
    <row r="122" customFormat="false" ht="15" hidden="false" customHeight="false" outlineLevel="0" collapsed="false">
      <c r="A122" s="16"/>
      <c r="B122" s="16"/>
      <c r="C122" s="16"/>
      <c r="D122" s="16"/>
      <c r="E122" s="17"/>
      <c r="F122" s="17"/>
      <c r="G122" s="17"/>
      <c r="H122" s="16" t="str">
        <f aca="true">IF(E122="","",IF(G122&lt;&gt;"",G122-E122,TODAY()-E122))</f>
        <v/>
      </c>
      <c r="I122" s="16"/>
      <c r="J122" s="16"/>
      <c r="K122" s="16"/>
      <c r="L122" s="16" t="str">
        <f aca="true">IF(AND(I122="Open",F122&lt;&gt;"",TODAY()&gt;F122),"OVERDUE","")</f>
        <v/>
      </c>
      <c r="M122" s="16"/>
    </row>
    <row r="123" customFormat="false" ht="15" hidden="false" customHeight="false" outlineLevel="0" collapsed="false">
      <c r="A123" s="16"/>
      <c r="B123" s="16"/>
      <c r="C123" s="16"/>
      <c r="D123" s="16"/>
      <c r="E123" s="17"/>
      <c r="F123" s="17"/>
      <c r="G123" s="17"/>
      <c r="H123" s="16" t="str">
        <f aca="true">IF(E123="","",IF(G123&lt;&gt;"",G123-E123,TODAY()-E123))</f>
        <v/>
      </c>
      <c r="I123" s="16"/>
      <c r="J123" s="16"/>
      <c r="K123" s="16"/>
      <c r="L123" s="16" t="str">
        <f aca="true">IF(AND(I123="Open",F123&lt;&gt;"",TODAY()&gt;F123),"OVERDUE","")</f>
        <v/>
      </c>
      <c r="M123" s="16"/>
    </row>
    <row r="124" customFormat="false" ht="15" hidden="false" customHeight="false" outlineLevel="0" collapsed="false">
      <c r="A124" s="16"/>
      <c r="B124" s="16"/>
      <c r="C124" s="16"/>
      <c r="D124" s="16"/>
      <c r="E124" s="17"/>
      <c r="F124" s="17"/>
      <c r="G124" s="17"/>
      <c r="H124" s="16" t="str">
        <f aca="true">IF(E124="","",IF(G124&lt;&gt;"",G124-E124,TODAY()-E124))</f>
        <v/>
      </c>
      <c r="I124" s="16"/>
      <c r="J124" s="16"/>
      <c r="K124" s="16"/>
      <c r="L124" s="16" t="str">
        <f aca="true">IF(AND(I124="Open",F124&lt;&gt;"",TODAY()&gt;F124),"OVERDUE","")</f>
        <v/>
      </c>
      <c r="M124" s="16"/>
    </row>
    <row r="125" customFormat="false" ht="15" hidden="false" customHeight="false" outlineLevel="0" collapsed="false">
      <c r="A125" s="16"/>
      <c r="B125" s="16"/>
      <c r="C125" s="16"/>
      <c r="D125" s="16"/>
      <c r="E125" s="17"/>
      <c r="F125" s="17"/>
      <c r="G125" s="17"/>
      <c r="H125" s="16" t="str">
        <f aca="true">IF(E125="","",IF(G125&lt;&gt;"",G125-E125,TODAY()-E125))</f>
        <v/>
      </c>
      <c r="I125" s="16"/>
      <c r="J125" s="16"/>
      <c r="K125" s="16"/>
      <c r="L125" s="16" t="str">
        <f aca="true">IF(AND(I125="Open",F125&lt;&gt;"",TODAY()&gt;F125),"OVERDUE","")</f>
        <v/>
      </c>
      <c r="M125" s="16"/>
    </row>
    <row r="126" customFormat="false" ht="15" hidden="false" customHeight="false" outlineLevel="0" collapsed="false">
      <c r="A126" s="16"/>
      <c r="B126" s="16"/>
      <c r="C126" s="16"/>
      <c r="D126" s="16"/>
      <c r="E126" s="17"/>
      <c r="F126" s="17"/>
      <c r="G126" s="17"/>
      <c r="H126" s="16" t="str">
        <f aca="true">IF(E126="","",IF(G126&lt;&gt;"",G126-E126,TODAY()-E126))</f>
        <v/>
      </c>
      <c r="I126" s="16"/>
      <c r="J126" s="16"/>
      <c r="K126" s="16"/>
      <c r="L126" s="16" t="str">
        <f aca="true">IF(AND(I126="Open",F126&lt;&gt;"",TODAY()&gt;F126),"OVERDUE","")</f>
        <v/>
      </c>
      <c r="M126" s="16"/>
    </row>
    <row r="127" customFormat="false" ht="15" hidden="false" customHeight="false" outlineLevel="0" collapsed="false">
      <c r="A127" s="16"/>
      <c r="B127" s="16"/>
      <c r="C127" s="16"/>
      <c r="D127" s="16"/>
      <c r="E127" s="17"/>
      <c r="F127" s="17"/>
      <c r="G127" s="17"/>
      <c r="H127" s="16" t="str">
        <f aca="true">IF(E127="","",IF(G127&lt;&gt;"",G127-E127,TODAY()-E127))</f>
        <v/>
      </c>
      <c r="I127" s="16"/>
      <c r="J127" s="16"/>
      <c r="K127" s="16"/>
      <c r="L127" s="16" t="str">
        <f aca="true">IF(AND(I127="Open",F127&lt;&gt;"",TODAY()&gt;F127),"OVERDUE","")</f>
        <v/>
      </c>
      <c r="M127" s="16"/>
    </row>
    <row r="128" customFormat="false" ht="15" hidden="false" customHeight="false" outlineLevel="0" collapsed="false">
      <c r="A128" s="16"/>
      <c r="B128" s="16"/>
      <c r="C128" s="16"/>
      <c r="D128" s="16"/>
      <c r="E128" s="17"/>
      <c r="F128" s="17"/>
      <c r="G128" s="17"/>
      <c r="H128" s="16" t="str">
        <f aca="true">IF(E128="","",IF(G128&lt;&gt;"",G128-E128,TODAY()-E128))</f>
        <v/>
      </c>
      <c r="I128" s="16"/>
      <c r="J128" s="16"/>
      <c r="K128" s="16"/>
      <c r="L128" s="16" t="str">
        <f aca="true">IF(AND(I128="Open",F128&lt;&gt;"",TODAY()&gt;F128),"OVERDUE","")</f>
        <v/>
      </c>
      <c r="M128" s="16"/>
    </row>
    <row r="129" customFormat="false" ht="15" hidden="false" customHeight="false" outlineLevel="0" collapsed="false">
      <c r="A129" s="16"/>
      <c r="B129" s="16"/>
      <c r="C129" s="16"/>
      <c r="D129" s="16"/>
      <c r="E129" s="17"/>
      <c r="F129" s="17"/>
      <c r="G129" s="17"/>
      <c r="H129" s="16" t="str">
        <f aca="true">IF(E129="","",IF(G129&lt;&gt;"",G129-E129,TODAY()-E129))</f>
        <v/>
      </c>
      <c r="I129" s="16"/>
      <c r="J129" s="16"/>
      <c r="K129" s="16"/>
      <c r="L129" s="16" t="str">
        <f aca="true">IF(AND(I129="Open",F129&lt;&gt;"",TODAY()&gt;F129),"OVERDUE","")</f>
        <v/>
      </c>
      <c r="M129" s="16"/>
    </row>
    <row r="130" customFormat="false" ht="15" hidden="false" customHeight="false" outlineLevel="0" collapsed="false">
      <c r="A130" s="16"/>
      <c r="B130" s="16"/>
      <c r="C130" s="16"/>
      <c r="D130" s="16"/>
      <c r="E130" s="17"/>
      <c r="F130" s="17"/>
      <c r="G130" s="17"/>
      <c r="H130" s="16" t="str">
        <f aca="true">IF(E130="","",IF(G130&lt;&gt;"",G130-E130,TODAY()-E130))</f>
        <v/>
      </c>
      <c r="I130" s="16"/>
      <c r="J130" s="16"/>
      <c r="K130" s="16"/>
      <c r="L130" s="16" t="str">
        <f aca="true">IF(AND(I130="Open",F130&lt;&gt;"",TODAY()&gt;F130),"OVERDUE","")</f>
        <v/>
      </c>
      <c r="M130" s="16"/>
    </row>
    <row r="131" customFormat="false" ht="15" hidden="false" customHeight="false" outlineLevel="0" collapsed="false">
      <c r="A131" s="16"/>
      <c r="B131" s="16"/>
      <c r="C131" s="16"/>
      <c r="D131" s="16"/>
      <c r="E131" s="17"/>
      <c r="F131" s="17"/>
      <c r="G131" s="17"/>
      <c r="H131" s="16" t="str">
        <f aca="true">IF(E131="","",IF(G131&lt;&gt;"",G131-E131,TODAY()-E131))</f>
        <v/>
      </c>
      <c r="I131" s="16"/>
      <c r="J131" s="16"/>
      <c r="K131" s="16"/>
      <c r="L131" s="16" t="str">
        <f aca="true">IF(AND(I131="Open",F131&lt;&gt;"",TODAY()&gt;F131),"OVERDUE","")</f>
        <v/>
      </c>
      <c r="M131" s="16"/>
    </row>
    <row r="132" customFormat="false" ht="15" hidden="false" customHeight="false" outlineLevel="0" collapsed="false">
      <c r="A132" s="16"/>
      <c r="B132" s="16"/>
      <c r="C132" s="16"/>
      <c r="D132" s="16"/>
      <c r="E132" s="17"/>
      <c r="F132" s="17"/>
      <c r="G132" s="17"/>
      <c r="H132" s="16" t="str">
        <f aca="true">IF(E132="","",IF(G132&lt;&gt;"",G132-E132,TODAY()-E132))</f>
        <v/>
      </c>
      <c r="I132" s="16"/>
      <c r="J132" s="16"/>
      <c r="K132" s="16"/>
      <c r="L132" s="16" t="str">
        <f aca="true">IF(AND(I132="Open",F132&lt;&gt;"",TODAY()&gt;F132),"OVERDUE","")</f>
        <v/>
      </c>
      <c r="M132" s="16"/>
    </row>
    <row r="133" customFormat="false" ht="15" hidden="false" customHeight="false" outlineLevel="0" collapsed="false">
      <c r="A133" s="16"/>
      <c r="B133" s="16"/>
      <c r="C133" s="16"/>
      <c r="D133" s="16"/>
      <c r="E133" s="17"/>
      <c r="F133" s="17"/>
      <c r="G133" s="17"/>
      <c r="H133" s="16" t="str">
        <f aca="true">IF(E133="","",IF(G133&lt;&gt;"",G133-E133,TODAY()-E133))</f>
        <v/>
      </c>
      <c r="I133" s="16"/>
      <c r="J133" s="16"/>
      <c r="K133" s="16"/>
      <c r="L133" s="16" t="str">
        <f aca="true">IF(AND(I133="Open",F133&lt;&gt;"",TODAY()&gt;F133),"OVERDUE","")</f>
        <v/>
      </c>
      <c r="M133" s="16"/>
    </row>
    <row r="134" customFormat="false" ht="15" hidden="false" customHeight="false" outlineLevel="0" collapsed="false">
      <c r="A134" s="16"/>
      <c r="B134" s="16"/>
      <c r="C134" s="16"/>
      <c r="D134" s="16"/>
      <c r="E134" s="17"/>
      <c r="F134" s="17"/>
      <c r="G134" s="17"/>
      <c r="H134" s="16" t="str">
        <f aca="true">IF(E134="","",IF(G134&lt;&gt;"",G134-E134,TODAY()-E134))</f>
        <v/>
      </c>
      <c r="I134" s="16"/>
      <c r="J134" s="16"/>
      <c r="K134" s="16"/>
      <c r="L134" s="16" t="str">
        <f aca="true">IF(AND(I134="Open",F134&lt;&gt;"",TODAY()&gt;F134),"OVERDUE","")</f>
        <v/>
      </c>
      <c r="M134" s="16"/>
    </row>
    <row r="135" customFormat="false" ht="15" hidden="false" customHeight="false" outlineLevel="0" collapsed="false">
      <c r="A135" s="16"/>
      <c r="B135" s="16"/>
      <c r="C135" s="16"/>
      <c r="D135" s="16"/>
      <c r="E135" s="17"/>
      <c r="F135" s="17"/>
      <c r="G135" s="17"/>
      <c r="H135" s="16" t="str">
        <f aca="true">IF(E135="","",IF(G135&lt;&gt;"",G135-E135,TODAY()-E135))</f>
        <v/>
      </c>
      <c r="I135" s="16"/>
      <c r="J135" s="16"/>
      <c r="K135" s="16"/>
      <c r="L135" s="16" t="str">
        <f aca="true">IF(AND(I135="Open",F135&lt;&gt;"",TODAY()&gt;F135),"OVERDUE","")</f>
        <v/>
      </c>
      <c r="M135" s="16"/>
    </row>
    <row r="136" customFormat="false" ht="15" hidden="false" customHeight="false" outlineLevel="0" collapsed="false">
      <c r="A136" s="16"/>
      <c r="B136" s="16"/>
      <c r="C136" s="16"/>
      <c r="D136" s="16"/>
      <c r="E136" s="17"/>
      <c r="F136" s="17"/>
      <c r="G136" s="17"/>
      <c r="H136" s="16" t="str">
        <f aca="true">IF(E136="","",IF(G136&lt;&gt;"",G136-E136,TODAY()-E136))</f>
        <v/>
      </c>
      <c r="I136" s="16"/>
      <c r="J136" s="16"/>
      <c r="K136" s="16"/>
      <c r="L136" s="16" t="str">
        <f aca="true">IF(AND(I136="Open",F136&lt;&gt;"",TODAY()&gt;F136),"OVERDUE","")</f>
        <v/>
      </c>
      <c r="M136" s="16"/>
    </row>
    <row r="137" customFormat="false" ht="15" hidden="false" customHeight="false" outlineLevel="0" collapsed="false">
      <c r="A137" s="16"/>
      <c r="B137" s="16"/>
      <c r="C137" s="16"/>
      <c r="D137" s="16"/>
      <c r="E137" s="17"/>
      <c r="F137" s="17"/>
      <c r="G137" s="17"/>
      <c r="H137" s="16" t="str">
        <f aca="true">IF(E137="","",IF(G137&lt;&gt;"",G137-E137,TODAY()-E137))</f>
        <v/>
      </c>
      <c r="I137" s="16"/>
      <c r="J137" s="16"/>
      <c r="K137" s="16"/>
      <c r="L137" s="16" t="str">
        <f aca="true">IF(AND(I137="Open",F137&lt;&gt;"",TODAY()&gt;F137),"OVERDUE","")</f>
        <v/>
      </c>
      <c r="M137" s="16"/>
    </row>
    <row r="138" customFormat="false" ht="15" hidden="false" customHeight="false" outlineLevel="0" collapsed="false">
      <c r="A138" s="16"/>
      <c r="B138" s="16"/>
      <c r="C138" s="16"/>
      <c r="D138" s="16"/>
      <c r="E138" s="17"/>
      <c r="F138" s="17"/>
      <c r="G138" s="17"/>
      <c r="H138" s="16" t="str">
        <f aca="true">IF(E138="","",IF(G138&lt;&gt;"",G138-E138,TODAY()-E138))</f>
        <v/>
      </c>
      <c r="I138" s="16"/>
      <c r="J138" s="16"/>
      <c r="K138" s="16"/>
      <c r="L138" s="16" t="str">
        <f aca="true">IF(AND(I138="Open",F138&lt;&gt;"",TODAY()&gt;F138),"OVERDUE","")</f>
        <v/>
      </c>
      <c r="M138" s="16"/>
    </row>
    <row r="139" customFormat="false" ht="15" hidden="false" customHeight="false" outlineLevel="0" collapsed="false">
      <c r="A139" s="16"/>
      <c r="B139" s="16"/>
      <c r="C139" s="16"/>
      <c r="D139" s="16"/>
      <c r="E139" s="17"/>
      <c r="F139" s="17"/>
      <c r="G139" s="17"/>
      <c r="H139" s="16" t="str">
        <f aca="true">IF(E139="","",IF(G139&lt;&gt;"",G139-E139,TODAY()-E139))</f>
        <v/>
      </c>
      <c r="I139" s="16"/>
      <c r="J139" s="16"/>
      <c r="K139" s="16"/>
      <c r="L139" s="16" t="str">
        <f aca="true">IF(AND(I139="Open",F139&lt;&gt;"",TODAY()&gt;F139),"OVERDUE","")</f>
        <v/>
      </c>
      <c r="M139" s="16"/>
    </row>
    <row r="140" customFormat="false" ht="15" hidden="false" customHeight="false" outlineLevel="0" collapsed="false">
      <c r="A140" s="16"/>
      <c r="B140" s="16"/>
      <c r="C140" s="16"/>
      <c r="D140" s="16"/>
      <c r="E140" s="17"/>
      <c r="F140" s="17"/>
      <c r="G140" s="17"/>
      <c r="H140" s="16" t="str">
        <f aca="true">IF(E140="","",IF(G140&lt;&gt;"",G140-E140,TODAY()-E140))</f>
        <v/>
      </c>
      <c r="I140" s="16"/>
      <c r="J140" s="16"/>
      <c r="K140" s="16"/>
      <c r="L140" s="16" t="str">
        <f aca="true">IF(AND(I140="Open",F140&lt;&gt;"",TODAY()&gt;F140),"OVERDUE","")</f>
        <v/>
      </c>
      <c r="M140" s="16"/>
    </row>
    <row r="141" customFormat="false" ht="15" hidden="false" customHeight="false" outlineLevel="0" collapsed="false">
      <c r="A141" s="16"/>
      <c r="B141" s="16"/>
      <c r="C141" s="16"/>
      <c r="D141" s="16"/>
      <c r="E141" s="17"/>
      <c r="F141" s="17"/>
      <c r="G141" s="17"/>
      <c r="H141" s="16" t="str">
        <f aca="true">IF(E141="","",IF(G141&lt;&gt;"",G141-E141,TODAY()-E141))</f>
        <v/>
      </c>
      <c r="I141" s="16"/>
      <c r="J141" s="16"/>
      <c r="K141" s="16"/>
      <c r="L141" s="16" t="str">
        <f aca="true">IF(AND(I141="Open",F141&lt;&gt;"",TODAY()&gt;F141),"OVERDUE","")</f>
        <v/>
      </c>
      <c r="M141" s="16"/>
    </row>
    <row r="142" customFormat="false" ht="15" hidden="false" customHeight="false" outlineLevel="0" collapsed="false">
      <c r="A142" s="16"/>
      <c r="B142" s="16"/>
      <c r="C142" s="16"/>
      <c r="D142" s="16"/>
      <c r="E142" s="17"/>
      <c r="F142" s="17"/>
      <c r="G142" s="17"/>
      <c r="H142" s="16" t="str">
        <f aca="true">IF(E142="","",IF(G142&lt;&gt;"",G142-E142,TODAY()-E142))</f>
        <v/>
      </c>
      <c r="I142" s="16"/>
      <c r="J142" s="16"/>
      <c r="K142" s="16"/>
      <c r="L142" s="16" t="str">
        <f aca="true">IF(AND(I142="Open",F142&lt;&gt;"",TODAY()&gt;F142),"OVERDUE","")</f>
        <v/>
      </c>
      <c r="M142" s="16"/>
    </row>
    <row r="143" customFormat="false" ht="15" hidden="false" customHeight="false" outlineLevel="0" collapsed="false">
      <c r="A143" s="16"/>
      <c r="B143" s="16"/>
      <c r="C143" s="16"/>
      <c r="D143" s="16"/>
      <c r="E143" s="17"/>
      <c r="F143" s="17"/>
      <c r="G143" s="17"/>
      <c r="H143" s="16" t="str">
        <f aca="true">IF(E143="","",IF(G143&lt;&gt;"",G143-E143,TODAY()-E143))</f>
        <v/>
      </c>
      <c r="I143" s="16"/>
      <c r="J143" s="16"/>
      <c r="K143" s="16"/>
      <c r="L143" s="16" t="str">
        <f aca="true">IF(AND(I143="Open",F143&lt;&gt;"",TODAY()&gt;F143),"OVERDUE","")</f>
        <v/>
      </c>
      <c r="M143" s="16"/>
    </row>
    <row r="144" customFormat="false" ht="15" hidden="false" customHeight="false" outlineLevel="0" collapsed="false">
      <c r="A144" s="16"/>
      <c r="B144" s="16"/>
      <c r="C144" s="16"/>
      <c r="D144" s="16"/>
      <c r="E144" s="17"/>
      <c r="F144" s="17"/>
      <c r="G144" s="17"/>
      <c r="H144" s="16" t="str">
        <f aca="true">IF(E144="","",IF(G144&lt;&gt;"",G144-E144,TODAY()-E144))</f>
        <v/>
      </c>
      <c r="I144" s="16"/>
      <c r="J144" s="16"/>
      <c r="K144" s="16"/>
      <c r="L144" s="16" t="str">
        <f aca="true">IF(AND(I144="Open",F144&lt;&gt;"",TODAY()&gt;F144),"OVERDUE","")</f>
        <v/>
      </c>
      <c r="M144" s="16"/>
    </row>
    <row r="145" customFormat="false" ht="15" hidden="false" customHeight="false" outlineLevel="0" collapsed="false">
      <c r="A145" s="16"/>
      <c r="B145" s="16"/>
      <c r="C145" s="16"/>
      <c r="D145" s="16"/>
      <c r="E145" s="17"/>
      <c r="F145" s="17"/>
      <c r="G145" s="17"/>
      <c r="H145" s="16" t="str">
        <f aca="true">IF(E145="","",IF(G145&lt;&gt;"",G145-E145,TODAY()-E145))</f>
        <v/>
      </c>
      <c r="I145" s="16"/>
      <c r="J145" s="16"/>
      <c r="K145" s="16"/>
      <c r="L145" s="16" t="str">
        <f aca="true">IF(AND(I145="Open",F145&lt;&gt;"",TODAY()&gt;F145),"OVERDUE","")</f>
        <v/>
      </c>
      <c r="M145" s="16"/>
    </row>
    <row r="146" customFormat="false" ht="15" hidden="false" customHeight="false" outlineLevel="0" collapsed="false">
      <c r="A146" s="16"/>
      <c r="B146" s="16"/>
      <c r="C146" s="16"/>
      <c r="D146" s="16"/>
      <c r="E146" s="17"/>
      <c r="F146" s="17"/>
      <c r="G146" s="17"/>
      <c r="H146" s="16" t="str">
        <f aca="true">IF(E146="","",IF(G146&lt;&gt;"",G146-E146,TODAY()-E146))</f>
        <v/>
      </c>
      <c r="I146" s="16"/>
      <c r="J146" s="16"/>
      <c r="K146" s="16"/>
      <c r="L146" s="16" t="str">
        <f aca="true">IF(AND(I146="Open",F146&lt;&gt;"",TODAY()&gt;F146),"OVERDUE","")</f>
        <v/>
      </c>
      <c r="M146" s="16"/>
    </row>
    <row r="147" customFormat="false" ht="15" hidden="false" customHeight="false" outlineLevel="0" collapsed="false">
      <c r="A147" s="16"/>
      <c r="B147" s="16"/>
      <c r="C147" s="16"/>
      <c r="D147" s="16"/>
      <c r="E147" s="17"/>
      <c r="F147" s="17"/>
      <c r="G147" s="17"/>
      <c r="H147" s="16" t="str">
        <f aca="true">IF(E147="","",IF(G147&lt;&gt;"",G147-E147,TODAY()-E147))</f>
        <v/>
      </c>
      <c r="I147" s="16"/>
      <c r="J147" s="16"/>
      <c r="K147" s="16"/>
      <c r="L147" s="16" t="str">
        <f aca="true">IF(AND(I147="Open",F147&lt;&gt;"",TODAY()&gt;F147),"OVERDUE","")</f>
        <v/>
      </c>
      <c r="M147" s="16"/>
    </row>
    <row r="148" customFormat="false" ht="15" hidden="false" customHeight="false" outlineLevel="0" collapsed="false">
      <c r="A148" s="16"/>
      <c r="B148" s="16"/>
      <c r="C148" s="16"/>
      <c r="D148" s="16"/>
      <c r="E148" s="17"/>
      <c r="F148" s="17"/>
      <c r="G148" s="17"/>
      <c r="H148" s="16" t="str">
        <f aca="true">IF(E148="","",IF(G148&lt;&gt;"",G148-E148,TODAY()-E148))</f>
        <v/>
      </c>
      <c r="I148" s="16"/>
      <c r="J148" s="16"/>
      <c r="K148" s="16"/>
      <c r="L148" s="16" t="str">
        <f aca="true">IF(AND(I148="Open",F148&lt;&gt;"",TODAY()&gt;F148),"OVERDUE","")</f>
        <v/>
      </c>
      <c r="M148" s="16"/>
    </row>
    <row r="149" customFormat="false" ht="15" hidden="false" customHeight="false" outlineLevel="0" collapsed="false">
      <c r="A149" s="16"/>
      <c r="B149" s="16"/>
      <c r="C149" s="16"/>
      <c r="D149" s="16"/>
      <c r="E149" s="17"/>
      <c r="F149" s="17"/>
      <c r="G149" s="17"/>
      <c r="H149" s="16" t="str">
        <f aca="true">IF(E149="","",IF(G149&lt;&gt;"",G149-E149,TODAY()-E149))</f>
        <v/>
      </c>
      <c r="I149" s="16"/>
      <c r="J149" s="16"/>
      <c r="K149" s="16"/>
      <c r="L149" s="16" t="str">
        <f aca="true">IF(AND(I149="Open",F149&lt;&gt;"",TODAY()&gt;F149),"OVERDUE","")</f>
        <v/>
      </c>
      <c r="M149" s="16"/>
    </row>
    <row r="150" customFormat="false" ht="15" hidden="false" customHeight="false" outlineLevel="0" collapsed="false">
      <c r="A150" s="16"/>
      <c r="B150" s="16"/>
      <c r="C150" s="16"/>
      <c r="D150" s="16"/>
      <c r="E150" s="17"/>
      <c r="F150" s="17"/>
      <c r="G150" s="17"/>
      <c r="H150" s="16" t="str">
        <f aca="true">IF(E150="","",IF(G150&lt;&gt;"",G150-E150,TODAY()-E150))</f>
        <v/>
      </c>
      <c r="I150" s="16"/>
      <c r="J150" s="16"/>
      <c r="K150" s="16"/>
      <c r="L150" s="16" t="str">
        <f aca="true">IF(AND(I150="Open",F150&lt;&gt;"",TODAY()&gt;F150),"OVERDUE","")</f>
        <v/>
      </c>
      <c r="M150" s="16"/>
    </row>
    <row r="151" customFormat="false" ht="15" hidden="false" customHeight="false" outlineLevel="0" collapsed="false">
      <c r="A151" s="16"/>
      <c r="B151" s="16"/>
      <c r="C151" s="16"/>
      <c r="D151" s="16"/>
      <c r="E151" s="17"/>
      <c r="F151" s="17"/>
      <c r="G151" s="17"/>
      <c r="H151" s="16" t="str">
        <f aca="true">IF(E151="","",IF(G151&lt;&gt;"",G151-E151,TODAY()-E151))</f>
        <v/>
      </c>
      <c r="I151" s="16"/>
      <c r="J151" s="16"/>
      <c r="K151" s="16"/>
      <c r="L151" s="16" t="str">
        <f aca="true">IF(AND(I151="Open",F151&lt;&gt;"",TODAY()&gt;F151),"OVERDUE","")</f>
        <v/>
      </c>
      <c r="M151" s="16"/>
    </row>
    <row r="152" customFormat="false" ht="15" hidden="false" customHeight="false" outlineLevel="0" collapsed="false">
      <c r="A152" s="16"/>
      <c r="B152" s="16"/>
      <c r="C152" s="16"/>
      <c r="D152" s="16"/>
      <c r="E152" s="17"/>
      <c r="F152" s="17"/>
      <c r="G152" s="17"/>
      <c r="H152" s="16" t="str">
        <f aca="true">IF(E152="","",IF(G152&lt;&gt;"",G152-E152,TODAY()-E152))</f>
        <v/>
      </c>
      <c r="I152" s="16"/>
      <c r="J152" s="16"/>
      <c r="K152" s="16"/>
      <c r="L152" s="16" t="str">
        <f aca="true">IF(AND(I152="Open",F152&lt;&gt;"",TODAY()&gt;F152),"OVERDUE","")</f>
        <v/>
      </c>
      <c r="M152" s="16"/>
    </row>
    <row r="153" customFormat="false" ht="15" hidden="false" customHeight="false" outlineLevel="0" collapsed="false">
      <c r="A153" s="16"/>
      <c r="B153" s="16"/>
      <c r="C153" s="16"/>
      <c r="D153" s="16"/>
      <c r="E153" s="17"/>
      <c r="F153" s="17"/>
      <c r="G153" s="17"/>
      <c r="H153" s="16" t="str">
        <f aca="true">IF(E153="","",IF(G153&lt;&gt;"",G153-E153,TODAY()-E153))</f>
        <v/>
      </c>
      <c r="I153" s="16"/>
      <c r="J153" s="16"/>
      <c r="K153" s="16"/>
      <c r="L153" s="16" t="str">
        <f aca="true">IF(AND(I153="Open",F153&lt;&gt;"",TODAY()&gt;F153),"OVERDUE","")</f>
        <v/>
      </c>
      <c r="M153" s="16"/>
    </row>
    <row r="154" customFormat="false" ht="15" hidden="false" customHeight="false" outlineLevel="0" collapsed="false">
      <c r="A154" s="16"/>
      <c r="B154" s="16"/>
      <c r="C154" s="16"/>
      <c r="D154" s="16"/>
      <c r="E154" s="17"/>
      <c r="F154" s="17"/>
      <c r="G154" s="17"/>
      <c r="H154" s="16" t="str">
        <f aca="true">IF(E154="","",IF(G154&lt;&gt;"",G154-E154,TODAY()-E154))</f>
        <v/>
      </c>
      <c r="I154" s="16"/>
      <c r="J154" s="16"/>
      <c r="K154" s="16"/>
      <c r="L154" s="16" t="str">
        <f aca="true">IF(AND(I154="Open",F154&lt;&gt;"",TODAY()&gt;F154),"OVERDUE","")</f>
        <v/>
      </c>
      <c r="M154" s="16"/>
    </row>
    <row r="155" customFormat="false" ht="15" hidden="false" customHeight="false" outlineLevel="0" collapsed="false">
      <c r="A155" s="16"/>
      <c r="B155" s="16"/>
      <c r="C155" s="16"/>
      <c r="D155" s="16"/>
      <c r="E155" s="17"/>
      <c r="F155" s="17"/>
      <c r="G155" s="17"/>
      <c r="H155" s="16" t="str">
        <f aca="true">IF(E155="","",IF(G155&lt;&gt;"",G155-E155,TODAY()-E155))</f>
        <v/>
      </c>
      <c r="I155" s="16"/>
      <c r="J155" s="16"/>
      <c r="K155" s="16"/>
      <c r="L155" s="16" t="str">
        <f aca="true">IF(AND(I155="Open",F155&lt;&gt;"",TODAY()&gt;F155),"OVERDUE","")</f>
        <v/>
      </c>
      <c r="M155" s="16"/>
    </row>
    <row r="156" customFormat="false" ht="15" hidden="false" customHeight="false" outlineLevel="0" collapsed="false">
      <c r="A156" s="16"/>
      <c r="B156" s="16"/>
      <c r="C156" s="16"/>
      <c r="D156" s="16"/>
      <c r="E156" s="17"/>
      <c r="F156" s="17"/>
      <c r="G156" s="17"/>
      <c r="H156" s="16" t="str">
        <f aca="true">IF(E156="","",IF(G156&lt;&gt;"",G156-E156,TODAY()-E156))</f>
        <v/>
      </c>
      <c r="I156" s="16"/>
      <c r="J156" s="16"/>
      <c r="K156" s="16"/>
      <c r="L156" s="16" t="str">
        <f aca="true">IF(AND(I156="Open",F156&lt;&gt;"",TODAY()&gt;F156),"OVERDUE","")</f>
        <v/>
      </c>
      <c r="M156" s="16"/>
    </row>
    <row r="157" customFormat="false" ht="15" hidden="false" customHeight="false" outlineLevel="0" collapsed="false">
      <c r="A157" s="16"/>
      <c r="B157" s="16"/>
      <c r="C157" s="16"/>
      <c r="D157" s="16"/>
      <c r="E157" s="17"/>
      <c r="F157" s="17"/>
      <c r="G157" s="17"/>
      <c r="H157" s="16" t="str">
        <f aca="true">IF(E157="","",IF(G157&lt;&gt;"",G157-E157,TODAY()-E157))</f>
        <v/>
      </c>
      <c r="I157" s="16"/>
      <c r="J157" s="16"/>
      <c r="K157" s="16"/>
      <c r="L157" s="16" t="str">
        <f aca="true">IF(AND(I157="Open",F157&lt;&gt;"",TODAY()&gt;F157),"OVERDUE","")</f>
        <v/>
      </c>
      <c r="M157" s="16"/>
    </row>
    <row r="158" customFormat="false" ht="15" hidden="false" customHeight="false" outlineLevel="0" collapsed="false">
      <c r="A158" s="16"/>
      <c r="B158" s="16"/>
      <c r="C158" s="16"/>
      <c r="D158" s="16"/>
      <c r="E158" s="17"/>
      <c r="F158" s="17"/>
      <c r="G158" s="17"/>
      <c r="H158" s="16" t="str">
        <f aca="true">IF(E158="","",IF(G158&lt;&gt;"",G158-E158,TODAY()-E158))</f>
        <v/>
      </c>
      <c r="I158" s="16"/>
      <c r="J158" s="16"/>
      <c r="K158" s="16"/>
      <c r="L158" s="16" t="str">
        <f aca="true">IF(AND(I158="Open",F158&lt;&gt;"",TODAY()&gt;F158),"OVERDUE","")</f>
        <v/>
      </c>
      <c r="M158" s="16"/>
    </row>
    <row r="159" customFormat="false" ht="15" hidden="false" customHeight="false" outlineLevel="0" collapsed="false">
      <c r="A159" s="16"/>
      <c r="B159" s="16"/>
      <c r="C159" s="16"/>
      <c r="D159" s="16"/>
      <c r="E159" s="17"/>
      <c r="F159" s="17"/>
      <c r="G159" s="17"/>
      <c r="H159" s="16" t="str">
        <f aca="true">IF(E159="","",IF(G159&lt;&gt;"",G159-E159,TODAY()-E159))</f>
        <v/>
      </c>
      <c r="I159" s="16"/>
      <c r="J159" s="16"/>
      <c r="K159" s="16"/>
      <c r="L159" s="16" t="str">
        <f aca="true">IF(AND(I159="Open",F159&lt;&gt;"",TODAY()&gt;F159),"OVERDUE","")</f>
        <v/>
      </c>
      <c r="M159" s="16"/>
    </row>
    <row r="160" customFormat="false" ht="15" hidden="false" customHeight="false" outlineLevel="0" collapsed="false">
      <c r="A160" s="16"/>
      <c r="B160" s="16"/>
      <c r="C160" s="16"/>
      <c r="D160" s="16"/>
      <c r="E160" s="17"/>
      <c r="F160" s="17"/>
      <c r="G160" s="17"/>
      <c r="H160" s="16" t="str">
        <f aca="true">IF(E160="","",IF(G160&lt;&gt;"",G160-E160,TODAY()-E160))</f>
        <v/>
      </c>
      <c r="I160" s="16"/>
      <c r="J160" s="16"/>
      <c r="K160" s="16"/>
      <c r="L160" s="16" t="str">
        <f aca="true">IF(AND(I160="Open",F160&lt;&gt;"",TODAY()&gt;F160),"OVERDUE","")</f>
        <v/>
      </c>
      <c r="M160" s="16"/>
    </row>
    <row r="161" customFormat="false" ht="15" hidden="false" customHeight="false" outlineLevel="0" collapsed="false">
      <c r="A161" s="16"/>
      <c r="B161" s="16"/>
      <c r="C161" s="16"/>
      <c r="D161" s="16"/>
      <c r="E161" s="17"/>
      <c r="F161" s="17"/>
      <c r="G161" s="17"/>
      <c r="H161" s="16" t="str">
        <f aca="true">IF(E161="","",IF(G161&lt;&gt;"",G161-E161,TODAY()-E161))</f>
        <v/>
      </c>
      <c r="I161" s="16"/>
      <c r="J161" s="16"/>
      <c r="K161" s="16"/>
      <c r="L161" s="16" t="str">
        <f aca="true">IF(AND(I161="Open",F161&lt;&gt;"",TODAY()&gt;F161),"OVERDUE","")</f>
        <v/>
      </c>
      <c r="M161" s="16"/>
    </row>
    <row r="162" customFormat="false" ht="15" hidden="false" customHeight="false" outlineLevel="0" collapsed="false">
      <c r="A162" s="16"/>
      <c r="B162" s="16"/>
      <c r="C162" s="16"/>
      <c r="D162" s="16"/>
      <c r="E162" s="17"/>
      <c r="F162" s="17"/>
      <c r="G162" s="17"/>
      <c r="H162" s="16" t="str">
        <f aca="true">IF(E162="","",IF(G162&lt;&gt;"",G162-E162,TODAY()-E162))</f>
        <v/>
      </c>
      <c r="I162" s="16"/>
      <c r="J162" s="16"/>
      <c r="K162" s="16"/>
      <c r="L162" s="16" t="str">
        <f aca="true">IF(AND(I162="Open",F162&lt;&gt;"",TODAY()&gt;F162),"OVERDUE","")</f>
        <v/>
      </c>
      <c r="M162" s="16"/>
    </row>
    <row r="163" customFormat="false" ht="15" hidden="false" customHeight="false" outlineLevel="0" collapsed="false">
      <c r="A163" s="16"/>
      <c r="B163" s="16"/>
      <c r="C163" s="16"/>
      <c r="D163" s="16"/>
      <c r="E163" s="17"/>
      <c r="F163" s="17"/>
      <c r="G163" s="17"/>
      <c r="H163" s="16" t="str">
        <f aca="true">IF(E163="","",IF(G163&lt;&gt;"",G163-E163,TODAY()-E163))</f>
        <v/>
      </c>
      <c r="I163" s="16"/>
      <c r="J163" s="16"/>
      <c r="K163" s="16"/>
      <c r="L163" s="16" t="str">
        <f aca="true">IF(AND(I163="Open",F163&lt;&gt;"",TODAY()&gt;F163),"OVERDUE","")</f>
        <v/>
      </c>
      <c r="M163" s="16"/>
    </row>
    <row r="164" customFormat="false" ht="15" hidden="false" customHeight="false" outlineLevel="0" collapsed="false">
      <c r="A164" s="16"/>
      <c r="B164" s="16"/>
      <c r="C164" s="16"/>
      <c r="D164" s="16"/>
      <c r="E164" s="17"/>
      <c r="F164" s="17"/>
      <c r="G164" s="17"/>
      <c r="H164" s="16" t="str">
        <f aca="true">IF(E164="","",IF(G164&lt;&gt;"",G164-E164,TODAY()-E164))</f>
        <v/>
      </c>
      <c r="I164" s="16"/>
      <c r="J164" s="16"/>
      <c r="K164" s="16"/>
      <c r="L164" s="16" t="str">
        <f aca="true">IF(AND(I164="Open",F164&lt;&gt;"",TODAY()&gt;F164),"OVERDUE","")</f>
        <v/>
      </c>
      <c r="M164" s="16"/>
    </row>
    <row r="165" customFormat="false" ht="15" hidden="false" customHeight="false" outlineLevel="0" collapsed="false">
      <c r="A165" s="16"/>
      <c r="B165" s="16"/>
      <c r="C165" s="16"/>
      <c r="D165" s="16"/>
      <c r="E165" s="17"/>
      <c r="F165" s="17"/>
      <c r="G165" s="17"/>
      <c r="H165" s="16" t="str">
        <f aca="true">IF(E165="","",IF(G165&lt;&gt;"",G165-E165,TODAY()-E165))</f>
        <v/>
      </c>
      <c r="I165" s="16"/>
      <c r="J165" s="16"/>
      <c r="K165" s="16"/>
      <c r="L165" s="16" t="str">
        <f aca="true">IF(AND(I165="Open",F165&lt;&gt;"",TODAY()&gt;F165),"OVERDUE","")</f>
        <v/>
      </c>
      <c r="M165" s="16"/>
    </row>
    <row r="166" customFormat="false" ht="15" hidden="false" customHeight="false" outlineLevel="0" collapsed="false">
      <c r="A166" s="16"/>
      <c r="B166" s="16"/>
      <c r="C166" s="16"/>
      <c r="D166" s="16"/>
      <c r="E166" s="17"/>
      <c r="F166" s="17"/>
      <c r="G166" s="17"/>
      <c r="H166" s="16" t="str">
        <f aca="true">IF(E166="","",IF(G166&lt;&gt;"",G166-E166,TODAY()-E166))</f>
        <v/>
      </c>
      <c r="I166" s="16"/>
      <c r="J166" s="16"/>
      <c r="K166" s="16"/>
      <c r="L166" s="16" t="str">
        <f aca="true">IF(AND(I166="Open",F166&lt;&gt;"",TODAY()&gt;F166),"OVERDUE","")</f>
        <v/>
      </c>
      <c r="M166" s="16"/>
    </row>
    <row r="167" customFormat="false" ht="15" hidden="false" customHeight="false" outlineLevel="0" collapsed="false">
      <c r="A167" s="16"/>
      <c r="B167" s="16"/>
      <c r="C167" s="16"/>
      <c r="D167" s="16"/>
      <c r="E167" s="17"/>
      <c r="F167" s="17"/>
      <c r="G167" s="17"/>
      <c r="H167" s="16" t="str">
        <f aca="true">IF(E167="","",IF(G167&lt;&gt;"",G167-E167,TODAY()-E167))</f>
        <v/>
      </c>
      <c r="I167" s="16"/>
      <c r="J167" s="16"/>
      <c r="K167" s="16"/>
      <c r="L167" s="16" t="str">
        <f aca="true">IF(AND(I167="Open",F167&lt;&gt;"",TODAY()&gt;F167),"OVERDUE","")</f>
        <v/>
      </c>
      <c r="M167" s="16"/>
    </row>
    <row r="168" customFormat="false" ht="15" hidden="false" customHeight="false" outlineLevel="0" collapsed="false">
      <c r="A168" s="16"/>
      <c r="B168" s="16"/>
      <c r="C168" s="16"/>
      <c r="D168" s="16"/>
      <c r="E168" s="17"/>
      <c r="F168" s="17"/>
      <c r="G168" s="17"/>
      <c r="H168" s="16" t="str">
        <f aca="true">IF(E168="","",IF(G168&lt;&gt;"",G168-E168,TODAY()-E168))</f>
        <v/>
      </c>
      <c r="I168" s="16"/>
      <c r="J168" s="16"/>
      <c r="K168" s="16"/>
      <c r="L168" s="16" t="str">
        <f aca="true">IF(AND(I168="Open",F168&lt;&gt;"",TODAY()&gt;F168),"OVERDUE","")</f>
        <v/>
      </c>
      <c r="M168" s="16"/>
    </row>
    <row r="169" customFormat="false" ht="15" hidden="false" customHeight="false" outlineLevel="0" collapsed="false">
      <c r="A169" s="16"/>
      <c r="B169" s="16"/>
      <c r="C169" s="16"/>
      <c r="D169" s="16"/>
      <c r="E169" s="17"/>
      <c r="F169" s="17"/>
      <c r="G169" s="17"/>
      <c r="H169" s="16" t="str">
        <f aca="true">IF(E169="","",IF(G169&lt;&gt;"",G169-E169,TODAY()-E169))</f>
        <v/>
      </c>
      <c r="I169" s="16"/>
      <c r="J169" s="16"/>
      <c r="K169" s="16"/>
      <c r="L169" s="16" t="str">
        <f aca="true">IF(AND(I169="Open",F169&lt;&gt;"",TODAY()&gt;F169),"OVERDUE","")</f>
        <v/>
      </c>
      <c r="M169" s="16"/>
    </row>
    <row r="170" customFormat="false" ht="15" hidden="false" customHeight="false" outlineLevel="0" collapsed="false">
      <c r="A170" s="16"/>
      <c r="B170" s="16"/>
      <c r="C170" s="16"/>
      <c r="D170" s="16"/>
      <c r="E170" s="17"/>
      <c r="F170" s="17"/>
      <c r="G170" s="17"/>
      <c r="H170" s="16" t="str">
        <f aca="true">IF(E170="","",IF(G170&lt;&gt;"",G170-E170,TODAY()-E170))</f>
        <v/>
      </c>
      <c r="I170" s="16"/>
      <c r="J170" s="16"/>
      <c r="K170" s="16"/>
      <c r="L170" s="16" t="str">
        <f aca="true">IF(AND(I170="Open",F170&lt;&gt;"",TODAY()&gt;F170),"OVERDUE","")</f>
        <v/>
      </c>
      <c r="M170" s="16"/>
    </row>
    <row r="171" customFormat="false" ht="15" hidden="false" customHeight="false" outlineLevel="0" collapsed="false">
      <c r="A171" s="16"/>
      <c r="B171" s="16"/>
      <c r="C171" s="16"/>
      <c r="D171" s="16"/>
      <c r="E171" s="17"/>
      <c r="F171" s="17"/>
      <c r="G171" s="17"/>
      <c r="H171" s="16" t="str">
        <f aca="true">IF(E171="","",IF(G171&lt;&gt;"",G171-E171,TODAY()-E171))</f>
        <v/>
      </c>
      <c r="I171" s="16"/>
      <c r="J171" s="16"/>
      <c r="K171" s="16"/>
      <c r="L171" s="16" t="str">
        <f aca="true">IF(AND(I171="Open",F171&lt;&gt;"",TODAY()&gt;F171),"OVERDUE","")</f>
        <v/>
      </c>
      <c r="M171" s="16"/>
    </row>
    <row r="172" customFormat="false" ht="15" hidden="false" customHeight="false" outlineLevel="0" collapsed="false">
      <c r="A172" s="16"/>
      <c r="B172" s="16"/>
      <c r="C172" s="16"/>
      <c r="D172" s="16"/>
      <c r="E172" s="17"/>
      <c r="F172" s="17"/>
      <c r="G172" s="17"/>
      <c r="H172" s="16" t="str">
        <f aca="true">IF(E172="","",IF(G172&lt;&gt;"",G172-E172,TODAY()-E172))</f>
        <v/>
      </c>
      <c r="I172" s="16"/>
      <c r="J172" s="16"/>
      <c r="K172" s="16"/>
      <c r="L172" s="16" t="str">
        <f aca="true">IF(AND(I172="Open",F172&lt;&gt;"",TODAY()&gt;F172),"OVERDUE","")</f>
        <v/>
      </c>
      <c r="M172" s="16"/>
    </row>
    <row r="173" customFormat="false" ht="15" hidden="false" customHeight="false" outlineLevel="0" collapsed="false">
      <c r="A173" s="16"/>
      <c r="B173" s="16"/>
      <c r="C173" s="16"/>
      <c r="D173" s="16"/>
      <c r="E173" s="17"/>
      <c r="F173" s="17"/>
      <c r="G173" s="17"/>
      <c r="H173" s="16" t="str">
        <f aca="true">IF(E173="","",IF(G173&lt;&gt;"",G173-E173,TODAY()-E173))</f>
        <v/>
      </c>
      <c r="I173" s="16"/>
      <c r="J173" s="16"/>
      <c r="K173" s="16"/>
      <c r="L173" s="16" t="str">
        <f aca="true">IF(AND(I173="Open",F173&lt;&gt;"",TODAY()&gt;F173),"OVERDUE","")</f>
        <v/>
      </c>
      <c r="M173" s="16"/>
    </row>
    <row r="174" customFormat="false" ht="15" hidden="false" customHeight="false" outlineLevel="0" collapsed="false">
      <c r="A174" s="16"/>
      <c r="B174" s="16"/>
      <c r="C174" s="16"/>
      <c r="D174" s="16"/>
      <c r="E174" s="17"/>
      <c r="F174" s="17"/>
      <c r="G174" s="17"/>
      <c r="H174" s="16" t="str">
        <f aca="true">IF(E174="","",IF(G174&lt;&gt;"",G174-E174,TODAY()-E174))</f>
        <v/>
      </c>
      <c r="I174" s="16"/>
      <c r="J174" s="16"/>
      <c r="K174" s="16"/>
      <c r="L174" s="16" t="str">
        <f aca="true">IF(AND(I174="Open",F174&lt;&gt;"",TODAY()&gt;F174),"OVERDUE","")</f>
        <v/>
      </c>
      <c r="M174" s="16"/>
    </row>
    <row r="175" customFormat="false" ht="15" hidden="false" customHeight="false" outlineLevel="0" collapsed="false">
      <c r="A175" s="16"/>
      <c r="B175" s="16"/>
      <c r="C175" s="16"/>
      <c r="D175" s="16"/>
      <c r="E175" s="17"/>
      <c r="F175" s="17"/>
      <c r="G175" s="17"/>
      <c r="H175" s="16" t="str">
        <f aca="true">IF(E175="","",IF(G175&lt;&gt;"",G175-E175,TODAY()-E175))</f>
        <v/>
      </c>
      <c r="I175" s="16"/>
      <c r="J175" s="16"/>
      <c r="K175" s="16"/>
      <c r="L175" s="16" t="str">
        <f aca="true">IF(AND(I175="Open",F175&lt;&gt;"",TODAY()&gt;F175),"OVERDUE","")</f>
        <v/>
      </c>
      <c r="M175" s="16"/>
    </row>
    <row r="176" customFormat="false" ht="15" hidden="false" customHeight="false" outlineLevel="0" collapsed="false">
      <c r="A176" s="16"/>
      <c r="B176" s="16"/>
      <c r="C176" s="16"/>
      <c r="D176" s="16"/>
      <c r="E176" s="17"/>
      <c r="F176" s="17"/>
      <c r="G176" s="17"/>
      <c r="H176" s="16" t="str">
        <f aca="true">IF(E176="","",IF(G176&lt;&gt;"",G176-E176,TODAY()-E176))</f>
        <v/>
      </c>
      <c r="I176" s="16"/>
      <c r="J176" s="16"/>
      <c r="K176" s="16"/>
      <c r="L176" s="16" t="str">
        <f aca="true">IF(AND(I176="Open",F176&lt;&gt;"",TODAY()&gt;F176),"OVERDUE","")</f>
        <v/>
      </c>
      <c r="M176" s="16"/>
    </row>
    <row r="177" customFormat="false" ht="15" hidden="false" customHeight="false" outlineLevel="0" collapsed="false">
      <c r="A177" s="16"/>
      <c r="B177" s="16"/>
      <c r="C177" s="16"/>
      <c r="D177" s="16"/>
      <c r="E177" s="17"/>
      <c r="F177" s="17"/>
      <c r="G177" s="17"/>
      <c r="H177" s="16" t="str">
        <f aca="true">IF(E177="","",IF(G177&lt;&gt;"",G177-E177,TODAY()-E177))</f>
        <v/>
      </c>
      <c r="I177" s="16"/>
      <c r="J177" s="16"/>
      <c r="K177" s="16"/>
      <c r="L177" s="16" t="str">
        <f aca="true">IF(AND(I177="Open",F177&lt;&gt;"",TODAY()&gt;F177),"OVERDUE","")</f>
        <v/>
      </c>
      <c r="M177" s="16"/>
    </row>
    <row r="178" customFormat="false" ht="15" hidden="false" customHeight="false" outlineLevel="0" collapsed="false">
      <c r="A178" s="16"/>
      <c r="B178" s="16"/>
      <c r="C178" s="16"/>
      <c r="D178" s="16"/>
      <c r="E178" s="17"/>
      <c r="F178" s="17"/>
      <c r="G178" s="17"/>
      <c r="H178" s="16" t="str">
        <f aca="true">IF(E178="","",IF(G178&lt;&gt;"",G178-E178,TODAY()-E178))</f>
        <v/>
      </c>
      <c r="I178" s="16"/>
      <c r="J178" s="16"/>
      <c r="K178" s="16"/>
      <c r="L178" s="16" t="str">
        <f aca="true">IF(AND(I178="Open",F178&lt;&gt;"",TODAY()&gt;F178),"OVERDUE","")</f>
        <v/>
      </c>
      <c r="M178" s="16"/>
    </row>
    <row r="179" customFormat="false" ht="15" hidden="false" customHeight="false" outlineLevel="0" collapsed="false">
      <c r="A179" s="16"/>
      <c r="B179" s="16"/>
      <c r="C179" s="16"/>
      <c r="D179" s="16"/>
      <c r="E179" s="17"/>
      <c r="F179" s="17"/>
      <c r="G179" s="17"/>
      <c r="H179" s="16" t="str">
        <f aca="true">IF(E179="","",IF(G179&lt;&gt;"",G179-E179,TODAY()-E179))</f>
        <v/>
      </c>
      <c r="I179" s="16"/>
      <c r="J179" s="16"/>
      <c r="K179" s="16"/>
      <c r="L179" s="16" t="str">
        <f aca="true">IF(AND(I179="Open",F179&lt;&gt;"",TODAY()&gt;F179),"OVERDUE","")</f>
        <v/>
      </c>
      <c r="M179" s="16"/>
    </row>
    <row r="180" customFormat="false" ht="15" hidden="false" customHeight="false" outlineLevel="0" collapsed="false">
      <c r="A180" s="16"/>
      <c r="B180" s="16"/>
      <c r="C180" s="16"/>
      <c r="D180" s="16"/>
      <c r="E180" s="17"/>
      <c r="F180" s="17"/>
      <c r="G180" s="17"/>
      <c r="H180" s="16" t="str">
        <f aca="true">IF(E180="","",IF(G180&lt;&gt;"",G180-E180,TODAY()-E180))</f>
        <v/>
      </c>
      <c r="I180" s="16"/>
      <c r="J180" s="16"/>
      <c r="K180" s="16"/>
      <c r="L180" s="16" t="str">
        <f aca="true">IF(AND(I180="Open",F180&lt;&gt;"",TODAY()&gt;F180),"OVERDUE","")</f>
        <v/>
      </c>
      <c r="M180" s="16"/>
    </row>
    <row r="181" customFormat="false" ht="15" hidden="false" customHeight="false" outlineLevel="0" collapsed="false">
      <c r="A181" s="16"/>
      <c r="B181" s="16"/>
      <c r="C181" s="16"/>
      <c r="D181" s="16"/>
      <c r="E181" s="17"/>
      <c r="F181" s="17"/>
      <c r="G181" s="17"/>
      <c r="H181" s="16" t="str">
        <f aca="true">IF(E181="","",IF(G181&lt;&gt;"",G181-E181,TODAY()-E181))</f>
        <v/>
      </c>
      <c r="I181" s="16"/>
      <c r="J181" s="16"/>
      <c r="K181" s="16"/>
      <c r="L181" s="16" t="str">
        <f aca="true">IF(AND(I181="Open",F181&lt;&gt;"",TODAY()&gt;F181),"OVERDUE","")</f>
        <v/>
      </c>
      <c r="M181" s="16"/>
    </row>
    <row r="182" customFormat="false" ht="15" hidden="false" customHeight="false" outlineLevel="0" collapsed="false">
      <c r="A182" s="16"/>
      <c r="B182" s="16"/>
      <c r="C182" s="16"/>
      <c r="D182" s="16"/>
      <c r="E182" s="17"/>
      <c r="F182" s="17"/>
      <c r="G182" s="17"/>
      <c r="H182" s="16" t="str">
        <f aca="true">IF(E182="","",IF(G182&lt;&gt;"",G182-E182,TODAY()-E182))</f>
        <v/>
      </c>
      <c r="I182" s="16"/>
      <c r="J182" s="16"/>
      <c r="K182" s="16"/>
      <c r="L182" s="16" t="str">
        <f aca="true">IF(AND(I182="Open",F182&lt;&gt;"",TODAY()&gt;F182),"OVERDUE","")</f>
        <v/>
      </c>
      <c r="M182" s="16"/>
    </row>
    <row r="183" customFormat="false" ht="15" hidden="false" customHeight="false" outlineLevel="0" collapsed="false">
      <c r="A183" s="16"/>
      <c r="B183" s="16"/>
      <c r="C183" s="16"/>
      <c r="D183" s="16"/>
      <c r="E183" s="17"/>
      <c r="F183" s="17"/>
      <c r="G183" s="17"/>
      <c r="H183" s="16" t="str">
        <f aca="true">IF(E183="","",IF(G183&lt;&gt;"",G183-E183,TODAY()-E183))</f>
        <v/>
      </c>
      <c r="I183" s="16"/>
      <c r="J183" s="16"/>
      <c r="K183" s="16"/>
      <c r="L183" s="16" t="str">
        <f aca="true">IF(AND(I183="Open",F183&lt;&gt;"",TODAY()&gt;F183),"OVERDUE","")</f>
        <v/>
      </c>
      <c r="M183" s="16"/>
    </row>
    <row r="184" customFormat="false" ht="15" hidden="false" customHeight="false" outlineLevel="0" collapsed="false">
      <c r="A184" s="16"/>
      <c r="B184" s="16"/>
      <c r="C184" s="16"/>
      <c r="D184" s="16"/>
      <c r="E184" s="17"/>
      <c r="F184" s="17"/>
      <c r="G184" s="17"/>
      <c r="H184" s="16" t="str">
        <f aca="true">IF(E184="","",IF(G184&lt;&gt;"",G184-E184,TODAY()-E184))</f>
        <v/>
      </c>
      <c r="I184" s="16"/>
      <c r="J184" s="16"/>
      <c r="K184" s="16"/>
      <c r="L184" s="16" t="str">
        <f aca="true">IF(AND(I184="Open",F184&lt;&gt;"",TODAY()&gt;F184),"OVERDUE","")</f>
        <v/>
      </c>
      <c r="M184" s="16"/>
    </row>
    <row r="185" customFormat="false" ht="15" hidden="false" customHeight="false" outlineLevel="0" collapsed="false">
      <c r="A185" s="16"/>
      <c r="B185" s="16"/>
      <c r="C185" s="16"/>
      <c r="D185" s="16"/>
      <c r="E185" s="17"/>
      <c r="F185" s="17"/>
      <c r="G185" s="17"/>
      <c r="H185" s="16" t="str">
        <f aca="true">IF(E185="","",IF(G185&lt;&gt;"",G185-E185,TODAY()-E185))</f>
        <v/>
      </c>
      <c r="I185" s="16"/>
      <c r="J185" s="16"/>
      <c r="K185" s="16"/>
      <c r="L185" s="16" t="str">
        <f aca="true">IF(AND(I185="Open",F185&lt;&gt;"",TODAY()&gt;F185),"OVERDUE","")</f>
        <v/>
      </c>
      <c r="M185" s="16"/>
    </row>
    <row r="186" customFormat="false" ht="15" hidden="false" customHeight="false" outlineLevel="0" collapsed="false">
      <c r="A186" s="16"/>
      <c r="B186" s="16"/>
      <c r="C186" s="16"/>
      <c r="D186" s="16"/>
      <c r="E186" s="17"/>
      <c r="F186" s="17"/>
      <c r="G186" s="17"/>
      <c r="H186" s="16" t="str">
        <f aca="true">IF(E186="","",IF(G186&lt;&gt;"",G186-E186,TODAY()-E186))</f>
        <v/>
      </c>
      <c r="I186" s="16"/>
      <c r="J186" s="16"/>
      <c r="K186" s="16"/>
      <c r="L186" s="16" t="str">
        <f aca="true">IF(AND(I186="Open",F186&lt;&gt;"",TODAY()&gt;F186),"OVERDUE","")</f>
        <v/>
      </c>
      <c r="M186" s="16"/>
    </row>
    <row r="187" customFormat="false" ht="15" hidden="false" customHeight="false" outlineLevel="0" collapsed="false">
      <c r="A187" s="16"/>
      <c r="B187" s="16"/>
      <c r="C187" s="16"/>
      <c r="D187" s="16"/>
      <c r="E187" s="17"/>
      <c r="F187" s="17"/>
      <c r="G187" s="17"/>
      <c r="H187" s="16" t="str">
        <f aca="true">IF(E187="","",IF(G187&lt;&gt;"",G187-E187,TODAY()-E187))</f>
        <v/>
      </c>
      <c r="I187" s="16"/>
      <c r="J187" s="16"/>
      <c r="K187" s="16"/>
      <c r="L187" s="16" t="str">
        <f aca="true">IF(AND(I187="Open",F187&lt;&gt;"",TODAY()&gt;F187),"OVERDUE","")</f>
        <v/>
      </c>
      <c r="M187" s="16"/>
    </row>
    <row r="188" customFormat="false" ht="15" hidden="false" customHeight="false" outlineLevel="0" collapsed="false">
      <c r="A188" s="16"/>
      <c r="B188" s="16"/>
      <c r="C188" s="16"/>
      <c r="D188" s="16"/>
      <c r="E188" s="17"/>
      <c r="F188" s="17"/>
      <c r="G188" s="17"/>
      <c r="H188" s="16" t="str">
        <f aca="true">IF(E188="","",IF(G188&lt;&gt;"",G188-E188,TODAY()-E188))</f>
        <v/>
      </c>
      <c r="I188" s="16"/>
      <c r="J188" s="16"/>
      <c r="K188" s="16"/>
      <c r="L188" s="16" t="str">
        <f aca="true">IF(AND(I188="Open",F188&lt;&gt;"",TODAY()&gt;F188),"OVERDUE","")</f>
        <v/>
      </c>
      <c r="M188" s="16"/>
    </row>
    <row r="189" customFormat="false" ht="15" hidden="false" customHeight="false" outlineLevel="0" collapsed="false">
      <c r="A189" s="16"/>
      <c r="B189" s="16"/>
      <c r="C189" s="16"/>
      <c r="D189" s="16"/>
      <c r="E189" s="17"/>
      <c r="F189" s="17"/>
      <c r="G189" s="17"/>
      <c r="H189" s="16" t="str">
        <f aca="true">IF(E189="","",IF(G189&lt;&gt;"",G189-E189,TODAY()-E189))</f>
        <v/>
      </c>
      <c r="I189" s="16"/>
      <c r="J189" s="16"/>
      <c r="K189" s="16"/>
      <c r="L189" s="16" t="str">
        <f aca="true">IF(AND(I189="Open",F189&lt;&gt;"",TODAY()&gt;F189),"OVERDUE","")</f>
        <v/>
      </c>
      <c r="M189" s="16"/>
    </row>
    <row r="190" customFormat="false" ht="15" hidden="false" customHeight="false" outlineLevel="0" collapsed="false">
      <c r="A190" s="16"/>
      <c r="B190" s="16"/>
      <c r="C190" s="16"/>
      <c r="D190" s="16"/>
      <c r="E190" s="17"/>
      <c r="F190" s="17"/>
      <c r="G190" s="17"/>
      <c r="H190" s="16" t="str">
        <f aca="true">IF(E190="","",IF(G190&lt;&gt;"",G190-E190,TODAY()-E190))</f>
        <v/>
      </c>
      <c r="I190" s="16"/>
      <c r="J190" s="16"/>
      <c r="K190" s="16"/>
      <c r="L190" s="16" t="str">
        <f aca="true">IF(AND(I190="Open",F190&lt;&gt;"",TODAY()&gt;F190),"OVERDUE","")</f>
        <v/>
      </c>
      <c r="M190" s="16"/>
    </row>
    <row r="191" customFormat="false" ht="15" hidden="false" customHeight="false" outlineLevel="0" collapsed="false">
      <c r="A191" s="16"/>
      <c r="B191" s="16"/>
      <c r="C191" s="16"/>
      <c r="D191" s="16"/>
      <c r="E191" s="17"/>
      <c r="F191" s="17"/>
      <c r="G191" s="17"/>
      <c r="H191" s="16" t="str">
        <f aca="true">IF(E191="","",IF(G191&lt;&gt;"",G191-E191,TODAY()-E191))</f>
        <v/>
      </c>
      <c r="I191" s="16"/>
      <c r="J191" s="16"/>
      <c r="K191" s="16"/>
      <c r="L191" s="16" t="str">
        <f aca="true">IF(AND(I191="Open",F191&lt;&gt;"",TODAY()&gt;F191),"OVERDUE","")</f>
        <v/>
      </c>
      <c r="M191" s="16"/>
    </row>
    <row r="192" customFormat="false" ht="15" hidden="false" customHeight="false" outlineLevel="0" collapsed="false">
      <c r="A192" s="16"/>
      <c r="B192" s="16"/>
      <c r="C192" s="16"/>
      <c r="D192" s="16"/>
      <c r="E192" s="17"/>
      <c r="F192" s="17"/>
      <c r="G192" s="17"/>
      <c r="H192" s="16" t="str">
        <f aca="true">IF(E192="","",IF(G192&lt;&gt;"",G192-E192,TODAY()-E192))</f>
        <v/>
      </c>
      <c r="I192" s="16"/>
      <c r="J192" s="16"/>
      <c r="K192" s="16"/>
      <c r="L192" s="16" t="str">
        <f aca="true">IF(AND(I192="Open",F192&lt;&gt;"",TODAY()&gt;F192),"OVERDUE","")</f>
        <v/>
      </c>
      <c r="M192" s="16"/>
    </row>
    <row r="193" customFormat="false" ht="15" hidden="false" customHeight="false" outlineLevel="0" collapsed="false">
      <c r="A193" s="16"/>
      <c r="B193" s="16"/>
      <c r="C193" s="16"/>
      <c r="D193" s="16"/>
      <c r="E193" s="17"/>
      <c r="F193" s="17"/>
      <c r="G193" s="17"/>
      <c r="H193" s="16" t="str">
        <f aca="true">IF(E193="","",IF(G193&lt;&gt;"",G193-E193,TODAY()-E193))</f>
        <v/>
      </c>
      <c r="I193" s="16"/>
      <c r="J193" s="16"/>
      <c r="K193" s="16"/>
      <c r="L193" s="16" t="str">
        <f aca="true">IF(AND(I193="Open",F193&lt;&gt;"",TODAY()&gt;F193),"OVERDUE","")</f>
        <v/>
      </c>
      <c r="M193" s="16"/>
    </row>
    <row r="194" customFormat="false" ht="15" hidden="false" customHeight="false" outlineLevel="0" collapsed="false">
      <c r="A194" s="16"/>
      <c r="B194" s="16"/>
      <c r="C194" s="16"/>
      <c r="D194" s="16"/>
      <c r="E194" s="17"/>
      <c r="F194" s="17"/>
      <c r="G194" s="17"/>
      <c r="H194" s="16" t="str">
        <f aca="true">IF(E194="","",IF(G194&lt;&gt;"",G194-E194,TODAY()-E194))</f>
        <v/>
      </c>
      <c r="I194" s="16"/>
      <c r="J194" s="16"/>
      <c r="K194" s="16"/>
      <c r="L194" s="16" t="str">
        <f aca="true">IF(AND(I194="Open",F194&lt;&gt;"",TODAY()&gt;F194),"OVERDUE","")</f>
        <v/>
      </c>
      <c r="M194" s="16"/>
    </row>
    <row r="195" customFormat="false" ht="15" hidden="false" customHeight="false" outlineLevel="0" collapsed="false">
      <c r="A195" s="16"/>
      <c r="B195" s="16"/>
      <c r="C195" s="16"/>
      <c r="D195" s="16"/>
      <c r="E195" s="17"/>
      <c r="F195" s="17"/>
      <c r="G195" s="17"/>
      <c r="H195" s="16" t="str">
        <f aca="true">IF(E195="","",IF(G195&lt;&gt;"",G195-E195,TODAY()-E195))</f>
        <v/>
      </c>
      <c r="I195" s="16"/>
      <c r="J195" s="16"/>
      <c r="K195" s="16"/>
      <c r="L195" s="16" t="str">
        <f aca="true">IF(AND(I195="Open",F195&lt;&gt;"",TODAY()&gt;F195),"OVERDUE","")</f>
        <v/>
      </c>
      <c r="M195" s="16"/>
    </row>
    <row r="196" customFormat="false" ht="15" hidden="false" customHeight="false" outlineLevel="0" collapsed="false">
      <c r="A196" s="16"/>
      <c r="B196" s="16"/>
      <c r="C196" s="16"/>
      <c r="D196" s="16"/>
      <c r="E196" s="17"/>
      <c r="F196" s="17"/>
      <c r="G196" s="17"/>
      <c r="H196" s="16" t="str">
        <f aca="true">IF(E196="","",IF(G196&lt;&gt;"",G196-E196,TODAY()-E196))</f>
        <v/>
      </c>
      <c r="I196" s="16"/>
      <c r="J196" s="16"/>
      <c r="K196" s="16"/>
      <c r="L196" s="16" t="str">
        <f aca="true">IF(AND(I196="Open",F196&lt;&gt;"",TODAY()&gt;F196),"OVERDUE","")</f>
        <v/>
      </c>
      <c r="M196" s="16"/>
    </row>
    <row r="197" customFormat="false" ht="15" hidden="false" customHeight="false" outlineLevel="0" collapsed="false">
      <c r="A197" s="16"/>
      <c r="B197" s="16"/>
      <c r="C197" s="16"/>
      <c r="D197" s="16"/>
      <c r="E197" s="17"/>
      <c r="F197" s="17"/>
      <c r="G197" s="17"/>
      <c r="H197" s="16" t="str">
        <f aca="true">IF(E197="","",IF(G197&lt;&gt;"",G197-E197,TODAY()-E197))</f>
        <v/>
      </c>
      <c r="I197" s="16"/>
      <c r="J197" s="16"/>
      <c r="K197" s="16"/>
      <c r="L197" s="16" t="str">
        <f aca="true">IF(AND(I197="Open",F197&lt;&gt;"",TODAY()&gt;F197),"OVERDUE","")</f>
        <v/>
      </c>
      <c r="M197" s="16"/>
    </row>
    <row r="198" customFormat="false" ht="15" hidden="false" customHeight="false" outlineLevel="0" collapsed="false">
      <c r="A198" s="16"/>
      <c r="B198" s="16"/>
      <c r="C198" s="16"/>
      <c r="D198" s="16"/>
      <c r="E198" s="17"/>
      <c r="F198" s="17"/>
      <c r="G198" s="17"/>
      <c r="H198" s="16" t="str">
        <f aca="true">IF(E198="","",IF(G198&lt;&gt;"",G198-E198,TODAY()-E198))</f>
        <v/>
      </c>
      <c r="I198" s="16"/>
      <c r="J198" s="16"/>
      <c r="K198" s="16"/>
      <c r="L198" s="16" t="str">
        <f aca="true">IF(AND(I198="Open",F198&lt;&gt;"",TODAY()&gt;F198),"OVERDUE","")</f>
        <v/>
      </c>
      <c r="M198" s="16"/>
    </row>
    <row r="199" customFormat="false" ht="15" hidden="false" customHeight="false" outlineLevel="0" collapsed="false">
      <c r="A199" s="16"/>
      <c r="B199" s="16"/>
      <c r="C199" s="16"/>
      <c r="D199" s="16"/>
      <c r="E199" s="17"/>
      <c r="F199" s="17"/>
      <c r="G199" s="17"/>
      <c r="H199" s="16" t="str">
        <f aca="true">IF(E199="","",IF(G199&lt;&gt;"",G199-E199,TODAY()-E199))</f>
        <v/>
      </c>
      <c r="I199" s="16"/>
      <c r="J199" s="16"/>
      <c r="K199" s="16"/>
      <c r="L199" s="16" t="str">
        <f aca="true">IF(AND(I199="Open",F199&lt;&gt;"",TODAY()&gt;F199),"OVERDUE","")</f>
        <v/>
      </c>
      <c r="M199" s="16"/>
    </row>
    <row r="200" customFormat="false" ht="15" hidden="false" customHeight="false" outlineLevel="0" collapsed="false">
      <c r="A200" s="16"/>
      <c r="B200" s="16"/>
      <c r="C200" s="16"/>
      <c r="D200" s="16"/>
      <c r="E200" s="17"/>
      <c r="F200" s="17"/>
      <c r="G200" s="17"/>
      <c r="H200" s="16" t="str">
        <f aca="true">IF(E200="","",IF(G200&lt;&gt;"",G200-E200,TODAY()-E200))</f>
        <v/>
      </c>
      <c r="I200" s="16"/>
      <c r="J200" s="16"/>
      <c r="K200" s="16"/>
      <c r="L200" s="16" t="str">
        <f aca="true">IF(AND(I200="Open",F200&lt;&gt;"",TODAY()&gt;F200),"OVERDUE","")</f>
        <v/>
      </c>
      <c r="M200" s="16"/>
    </row>
    <row r="201" customFormat="false" ht="15" hidden="false" customHeight="false" outlineLevel="0" collapsed="false">
      <c r="A201" s="16"/>
      <c r="B201" s="16"/>
      <c r="C201" s="16"/>
      <c r="D201" s="16"/>
      <c r="E201" s="17"/>
      <c r="F201" s="17"/>
      <c r="G201" s="17"/>
      <c r="H201" s="16" t="str">
        <f aca="true">IF(E201="","",IF(G201&lt;&gt;"",G201-E201,TODAY()-E201))</f>
        <v/>
      </c>
      <c r="I201" s="16"/>
      <c r="J201" s="16"/>
      <c r="K201" s="16"/>
      <c r="L201" s="16" t="str">
        <f aca="true">IF(AND(I201="Open",F201&lt;&gt;"",TODAY()&gt;F201),"OVERDUE","")</f>
        <v/>
      </c>
      <c r="M201" s="16"/>
    </row>
    <row r="202" customFormat="false" ht="15" hidden="false" customHeight="false" outlineLevel="0" collapsed="false">
      <c r="A202" s="16"/>
      <c r="B202" s="16"/>
      <c r="C202" s="16"/>
      <c r="D202" s="16"/>
      <c r="E202" s="17"/>
      <c r="F202" s="17"/>
      <c r="G202" s="17"/>
      <c r="H202" s="16" t="str">
        <f aca="true">IF(E202="","",IF(G202&lt;&gt;"",G202-E202,TODAY()-E202))</f>
        <v/>
      </c>
      <c r="I202" s="16"/>
      <c r="J202" s="16"/>
      <c r="K202" s="16"/>
      <c r="L202" s="16" t="str">
        <f aca="true">IF(AND(I202="Open",F202&lt;&gt;"",TODAY()&gt;F202),"OVERDUE","")</f>
        <v/>
      </c>
      <c r="M202" s="16"/>
    </row>
    <row r="203" customFormat="false" ht="15" hidden="false" customHeight="false" outlineLevel="0" collapsed="false">
      <c r="A203" s="16"/>
      <c r="B203" s="16"/>
      <c r="C203" s="16"/>
      <c r="D203" s="16"/>
      <c r="E203" s="17"/>
      <c r="F203" s="17"/>
      <c r="G203" s="17"/>
      <c r="H203" s="16" t="str">
        <f aca="true">IF(E203="","",IF(G203&lt;&gt;"",G203-E203,TODAY()-E203))</f>
        <v/>
      </c>
      <c r="I203" s="16"/>
      <c r="J203" s="16"/>
      <c r="K203" s="16"/>
      <c r="L203" s="16" t="str">
        <f aca="true">IF(AND(I203="Open",F203&lt;&gt;"",TODAY()&gt;F203),"OVERDUE","")</f>
        <v/>
      </c>
      <c r="M203" s="16"/>
    </row>
    <row r="204" customFormat="false" ht="15" hidden="false" customHeight="false" outlineLevel="0" collapsed="false">
      <c r="A204" s="16"/>
      <c r="B204" s="16"/>
      <c r="C204" s="16"/>
      <c r="D204" s="16"/>
      <c r="E204" s="17"/>
      <c r="F204" s="17"/>
      <c r="G204" s="17"/>
      <c r="H204" s="16" t="str">
        <f aca="true">IF(E204="","",IF(G204&lt;&gt;"",G204-E204,TODAY()-E204))</f>
        <v/>
      </c>
      <c r="I204" s="16"/>
      <c r="J204" s="16"/>
      <c r="K204" s="16"/>
      <c r="L204" s="16" t="str">
        <f aca="true">IF(AND(I204="Open",F204&lt;&gt;"",TODAY()&gt;F204),"OVERDUE","")</f>
        <v/>
      </c>
      <c r="M204" s="16"/>
    </row>
    <row r="205" customFormat="false" ht="15" hidden="false" customHeight="false" outlineLevel="0" collapsed="false">
      <c r="A205" s="16"/>
      <c r="B205" s="16"/>
      <c r="C205" s="16"/>
      <c r="D205" s="16"/>
      <c r="E205" s="17"/>
      <c r="F205" s="17"/>
      <c r="G205" s="17"/>
      <c r="H205" s="16" t="str">
        <f aca="true">IF(E205="","",IF(G205&lt;&gt;"",G205-E205,TODAY()-E205))</f>
        <v/>
      </c>
      <c r="I205" s="16"/>
      <c r="J205" s="16"/>
      <c r="K205" s="16"/>
      <c r="L205" s="16" t="str">
        <f aca="true">IF(AND(I205="Open",F205&lt;&gt;"",TODAY()&gt;F205),"OVERDUE","")</f>
        <v/>
      </c>
      <c r="M205" s="16"/>
    </row>
    <row r="206" customFormat="false" ht="15" hidden="false" customHeight="false" outlineLevel="0" collapsed="false">
      <c r="A206" s="16"/>
      <c r="B206" s="16"/>
      <c r="C206" s="16"/>
      <c r="D206" s="16"/>
      <c r="E206" s="17"/>
      <c r="F206" s="17"/>
      <c r="G206" s="17"/>
      <c r="H206" s="16" t="str">
        <f aca="true">IF(E206="","",IF(G206&lt;&gt;"",G206-E206,TODAY()-E206))</f>
        <v/>
      </c>
      <c r="I206" s="16"/>
      <c r="J206" s="16"/>
      <c r="K206" s="16"/>
      <c r="L206" s="16" t="str">
        <f aca="true">IF(AND(I206="Open",F206&lt;&gt;"",TODAY()&gt;F206),"OVERDUE","")</f>
        <v/>
      </c>
      <c r="M206" s="16"/>
    </row>
    <row r="207" customFormat="false" ht="15" hidden="false" customHeight="false" outlineLevel="0" collapsed="false">
      <c r="A207" s="16"/>
      <c r="B207" s="16"/>
      <c r="C207" s="16"/>
      <c r="D207" s="16"/>
      <c r="E207" s="17"/>
      <c r="F207" s="17"/>
      <c r="G207" s="17"/>
      <c r="H207" s="16" t="str">
        <f aca="true">IF(E207="","",IF(G207&lt;&gt;"",G207-E207,TODAY()-E207))</f>
        <v/>
      </c>
      <c r="I207" s="16"/>
      <c r="J207" s="16"/>
      <c r="K207" s="16"/>
      <c r="L207" s="16" t="str">
        <f aca="true">IF(AND(I207="Open",F207&lt;&gt;"",TODAY()&gt;F207),"OVERDUE","")</f>
        <v/>
      </c>
      <c r="M207" s="16"/>
    </row>
    <row r="208" customFormat="false" ht="15" hidden="false" customHeight="false" outlineLevel="0" collapsed="false">
      <c r="A208" s="16"/>
      <c r="B208" s="16"/>
      <c r="C208" s="16"/>
      <c r="D208" s="16"/>
      <c r="E208" s="17"/>
      <c r="F208" s="17"/>
      <c r="G208" s="17"/>
      <c r="H208" s="16" t="str">
        <f aca="true">IF(E208="","",IF(G208&lt;&gt;"",G208-E208,TODAY()-E208))</f>
        <v/>
      </c>
      <c r="I208" s="16"/>
      <c r="J208" s="16"/>
      <c r="K208" s="16"/>
      <c r="L208" s="16" t="str">
        <f aca="true">IF(AND(I208="Open",F208&lt;&gt;"",TODAY()&gt;F208),"OVERDUE","")</f>
        <v/>
      </c>
      <c r="M208" s="16"/>
    </row>
    <row r="209" customFormat="false" ht="15" hidden="false" customHeight="false" outlineLevel="0" collapsed="false">
      <c r="A209" s="16"/>
      <c r="B209" s="16"/>
      <c r="C209" s="16"/>
      <c r="D209" s="16"/>
      <c r="E209" s="17"/>
      <c r="F209" s="17"/>
      <c r="G209" s="17"/>
      <c r="H209" s="16" t="str">
        <f aca="true">IF(E209="","",IF(G209&lt;&gt;"",G209-E209,TODAY()-E209))</f>
        <v/>
      </c>
      <c r="I209" s="16"/>
      <c r="J209" s="16"/>
      <c r="K209" s="16"/>
      <c r="L209" s="16" t="str">
        <f aca="true">IF(AND(I209="Open",F209&lt;&gt;"",TODAY()&gt;F209),"OVERDUE","")</f>
        <v/>
      </c>
      <c r="M209" s="16"/>
    </row>
    <row r="210" customFormat="false" ht="15" hidden="false" customHeight="false" outlineLevel="0" collapsed="false">
      <c r="A210" s="16"/>
      <c r="B210" s="16"/>
      <c r="C210" s="16"/>
      <c r="D210" s="16"/>
      <c r="E210" s="17"/>
      <c r="F210" s="17"/>
      <c r="G210" s="17"/>
      <c r="H210" s="16" t="str">
        <f aca="true">IF(E210="","",IF(G210&lt;&gt;"",G210-E210,TODAY()-E210))</f>
        <v/>
      </c>
      <c r="I210" s="16"/>
      <c r="J210" s="16"/>
      <c r="K210" s="16"/>
      <c r="L210" s="16" t="str">
        <f aca="true">IF(AND(I210="Open",F210&lt;&gt;"",TODAY()&gt;F210),"OVERDUE","")</f>
        <v/>
      </c>
      <c r="M210" s="16"/>
    </row>
    <row r="211" customFormat="false" ht="15" hidden="false" customHeight="false" outlineLevel="0" collapsed="false">
      <c r="A211" s="16"/>
      <c r="B211" s="16"/>
      <c r="C211" s="16"/>
      <c r="D211" s="16"/>
      <c r="E211" s="17"/>
      <c r="F211" s="17"/>
      <c r="G211" s="17"/>
      <c r="H211" s="16" t="str">
        <f aca="true">IF(E211="","",IF(G211&lt;&gt;"",G211-E211,TODAY()-E211))</f>
        <v/>
      </c>
      <c r="I211" s="16"/>
      <c r="J211" s="16"/>
      <c r="K211" s="16"/>
      <c r="L211" s="16" t="str">
        <f aca="true">IF(AND(I211="Open",F211&lt;&gt;"",TODAY()&gt;F211),"OVERDUE","")</f>
        <v/>
      </c>
      <c r="M211" s="16"/>
    </row>
    <row r="212" customFormat="false" ht="15" hidden="false" customHeight="false" outlineLevel="0" collapsed="false">
      <c r="A212" s="16"/>
      <c r="B212" s="16"/>
      <c r="C212" s="16"/>
      <c r="D212" s="16"/>
      <c r="E212" s="17"/>
      <c r="F212" s="17"/>
      <c r="G212" s="17"/>
      <c r="H212" s="16" t="str">
        <f aca="true">IF(E212="","",IF(G212&lt;&gt;"",G212-E212,TODAY()-E212))</f>
        <v/>
      </c>
      <c r="I212" s="16"/>
      <c r="J212" s="16"/>
      <c r="K212" s="16"/>
      <c r="L212" s="16" t="str">
        <f aca="true">IF(AND(I212="Open",F212&lt;&gt;"",TODAY()&gt;F212),"OVERDUE","")</f>
        <v/>
      </c>
      <c r="M212" s="16"/>
    </row>
    <row r="213" customFormat="false" ht="15" hidden="false" customHeight="false" outlineLevel="0" collapsed="false">
      <c r="A213" s="16"/>
      <c r="B213" s="16"/>
      <c r="C213" s="16"/>
      <c r="D213" s="16"/>
      <c r="E213" s="17"/>
      <c r="F213" s="17"/>
      <c r="G213" s="17"/>
      <c r="H213" s="16" t="str">
        <f aca="true">IF(E213="","",IF(G213&lt;&gt;"",G213-E213,TODAY()-E213))</f>
        <v/>
      </c>
      <c r="I213" s="16"/>
      <c r="J213" s="16"/>
      <c r="K213" s="16"/>
      <c r="L213" s="16" t="str">
        <f aca="true">IF(AND(I213="Open",F213&lt;&gt;"",TODAY()&gt;F213),"OVERDUE","")</f>
        <v/>
      </c>
      <c r="M213" s="16"/>
    </row>
    <row r="214" customFormat="false" ht="15" hidden="false" customHeight="false" outlineLevel="0" collapsed="false">
      <c r="A214" s="16"/>
      <c r="B214" s="16"/>
      <c r="C214" s="16"/>
      <c r="D214" s="16"/>
      <c r="E214" s="17"/>
      <c r="F214" s="17"/>
      <c r="G214" s="17"/>
      <c r="H214" s="16" t="str">
        <f aca="true">IF(E214="","",IF(G214&lt;&gt;"",G214-E214,TODAY()-E214))</f>
        <v/>
      </c>
      <c r="I214" s="16"/>
      <c r="J214" s="16"/>
      <c r="K214" s="16"/>
      <c r="L214" s="16" t="str">
        <f aca="true">IF(AND(I214="Open",F214&lt;&gt;"",TODAY()&gt;F214),"OVERDUE","")</f>
        <v/>
      </c>
      <c r="M214" s="16"/>
    </row>
    <row r="215" customFormat="false" ht="15" hidden="false" customHeight="false" outlineLevel="0" collapsed="false">
      <c r="A215" s="16"/>
      <c r="B215" s="16"/>
      <c r="C215" s="16"/>
      <c r="D215" s="16"/>
      <c r="E215" s="17"/>
      <c r="F215" s="17"/>
      <c r="G215" s="17"/>
      <c r="H215" s="16" t="str">
        <f aca="true">IF(E215="","",IF(G215&lt;&gt;"",G215-E215,TODAY()-E215))</f>
        <v/>
      </c>
      <c r="I215" s="16"/>
      <c r="J215" s="16"/>
      <c r="K215" s="16"/>
      <c r="L215" s="16" t="str">
        <f aca="true">IF(AND(I215="Open",F215&lt;&gt;"",TODAY()&gt;F215),"OVERDUE","")</f>
        <v/>
      </c>
      <c r="M215" s="16"/>
    </row>
    <row r="216" customFormat="false" ht="15" hidden="false" customHeight="false" outlineLevel="0" collapsed="false">
      <c r="A216" s="16"/>
      <c r="B216" s="16"/>
      <c r="C216" s="16"/>
      <c r="D216" s="16"/>
      <c r="E216" s="17"/>
      <c r="F216" s="17"/>
      <c r="G216" s="17"/>
      <c r="H216" s="16" t="str">
        <f aca="true">IF(E216="","",IF(G216&lt;&gt;"",G216-E216,TODAY()-E216))</f>
        <v/>
      </c>
      <c r="I216" s="16"/>
      <c r="J216" s="16"/>
      <c r="K216" s="16"/>
      <c r="L216" s="16" t="str">
        <f aca="true">IF(AND(I216="Open",F216&lt;&gt;"",TODAY()&gt;F216),"OVERDUE","")</f>
        <v/>
      </c>
      <c r="M216" s="16"/>
    </row>
    <row r="217" customFormat="false" ht="15" hidden="false" customHeight="false" outlineLevel="0" collapsed="false">
      <c r="A217" s="16"/>
      <c r="B217" s="16"/>
      <c r="C217" s="16"/>
      <c r="D217" s="16"/>
      <c r="E217" s="17"/>
      <c r="F217" s="17"/>
      <c r="G217" s="17"/>
      <c r="H217" s="16" t="str">
        <f aca="true">IF(E217="","",IF(G217&lt;&gt;"",G217-E217,TODAY()-E217))</f>
        <v/>
      </c>
      <c r="I217" s="16"/>
      <c r="J217" s="16"/>
      <c r="K217" s="16"/>
      <c r="L217" s="16" t="str">
        <f aca="true">IF(AND(I217="Open",F217&lt;&gt;"",TODAY()&gt;F217),"OVERDUE","")</f>
        <v/>
      </c>
      <c r="M217" s="16"/>
    </row>
    <row r="218" customFormat="false" ht="15" hidden="false" customHeight="false" outlineLevel="0" collapsed="false">
      <c r="A218" s="16"/>
      <c r="B218" s="16"/>
      <c r="C218" s="16"/>
      <c r="D218" s="16"/>
      <c r="E218" s="17"/>
      <c r="F218" s="17"/>
      <c r="G218" s="17"/>
      <c r="H218" s="16" t="str">
        <f aca="true">IF(E218="","",IF(G218&lt;&gt;"",G218-E218,TODAY()-E218))</f>
        <v/>
      </c>
      <c r="I218" s="16"/>
      <c r="J218" s="16"/>
      <c r="K218" s="16"/>
      <c r="L218" s="16" t="str">
        <f aca="true">IF(AND(I218="Open",F218&lt;&gt;"",TODAY()&gt;F218),"OVERDUE","")</f>
        <v/>
      </c>
      <c r="M218" s="16"/>
    </row>
    <row r="219" customFormat="false" ht="15" hidden="false" customHeight="false" outlineLevel="0" collapsed="false">
      <c r="A219" s="16"/>
      <c r="B219" s="16"/>
      <c r="C219" s="16"/>
      <c r="D219" s="16"/>
      <c r="E219" s="17"/>
      <c r="F219" s="17"/>
      <c r="G219" s="17"/>
      <c r="H219" s="16" t="str">
        <f aca="true">IF(E219="","",IF(G219&lt;&gt;"",G219-E219,TODAY()-E219))</f>
        <v/>
      </c>
      <c r="I219" s="16"/>
      <c r="J219" s="16"/>
      <c r="K219" s="16"/>
      <c r="L219" s="16" t="str">
        <f aca="true">IF(AND(I219="Open",F219&lt;&gt;"",TODAY()&gt;F219),"OVERDUE","")</f>
        <v/>
      </c>
      <c r="M219" s="16"/>
    </row>
    <row r="220" customFormat="false" ht="15" hidden="false" customHeight="false" outlineLevel="0" collapsed="false">
      <c r="A220" s="16"/>
      <c r="B220" s="16"/>
      <c r="C220" s="16"/>
      <c r="D220" s="16"/>
      <c r="E220" s="17"/>
      <c r="F220" s="17"/>
      <c r="G220" s="17"/>
      <c r="H220" s="16" t="str">
        <f aca="true">IF(E220="","",IF(G220&lt;&gt;"",G220-E220,TODAY()-E220))</f>
        <v/>
      </c>
      <c r="I220" s="16"/>
      <c r="J220" s="16"/>
      <c r="K220" s="16"/>
      <c r="L220" s="16" t="str">
        <f aca="true">IF(AND(I220="Open",F220&lt;&gt;"",TODAY()&gt;F220),"OVERDUE","")</f>
        <v/>
      </c>
      <c r="M220" s="16"/>
    </row>
    <row r="221" customFormat="false" ht="15" hidden="false" customHeight="false" outlineLevel="0" collapsed="false">
      <c r="A221" s="16"/>
      <c r="B221" s="16"/>
      <c r="C221" s="16"/>
      <c r="D221" s="16"/>
      <c r="E221" s="17"/>
      <c r="F221" s="17"/>
      <c r="G221" s="17"/>
      <c r="H221" s="16" t="str">
        <f aca="true">IF(E221="","",IF(G221&lt;&gt;"",G221-E221,TODAY()-E221))</f>
        <v/>
      </c>
      <c r="I221" s="16"/>
      <c r="J221" s="16"/>
      <c r="K221" s="16"/>
      <c r="L221" s="16" t="str">
        <f aca="true">IF(AND(I221="Open",F221&lt;&gt;"",TODAY()&gt;F221),"OVERDUE","")</f>
        <v/>
      </c>
      <c r="M221" s="16"/>
    </row>
    <row r="222" customFormat="false" ht="15" hidden="false" customHeight="false" outlineLevel="0" collapsed="false">
      <c r="A222" s="16"/>
      <c r="B222" s="16"/>
      <c r="C222" s="16"/>
      <c r="D222" s="16"/>
      <c r="E222" s="17"/>
      <c r="F222" s="17"/>
      <c r="G222" s="17"/>
      <c r="H222" s="16" t="str">
        <f aca="true">IF(E222="","",IF(G222&lt;&gt;"",G222-E222,TODAY()-E222))</f>
        <v/>
      </c>
      <c r="I222" s="16"/>
      <c r="J222" s="16"/>
      <c r="K222" s="16"/>
      <c r="L222" s="16" t="str">
        <f aca="true">IF(AND(I222="Open",F222&lt;&gt;"",TODAY()&gt;F222),"OVERDUE","")</f>
        <v/>
      </c>
      <c r="M222" s="16"/>
    </row>
    <row r="223" customFormat="false" ht="15" hidden="false" customHeight="false" outlineLevel="0" collapsed="false">
      <c r="A223" s="16"/>
      <c r="B223" s="16"/>
      <c r="C223" s="16"/>
      <c r="D223" s="16"/>
      <c r="E223" s="17"/>
      <c r="F223" s="17"/>
      <c r="G223" s="17"/>
      <c r="H223" s="16" t="str">
        <f aca="true">IF(E223="","",IF(G223&lt;&gt;"",G223-E223,TODAY()-E223))</f>
        <v/>
      </c>
      <c r="I223" s="16"/>
      <c r="J223" s="16"/>
      <c r="K223" s="16"/>
      <c r="L223" s="16" t="str">
        <f aca="true">IF(AND(I223="Open",F223&lt;&gt;"",TODAY()&gt;F223),"OVERDUE","")</f>
        <v/>
      </c>
      <c r="M223" s="16"/>
    </row>
    <row r="224" customFormat="false" ht="15" hidden="false" customHeight="false" outlineLevel="0" collapsed="false">
      <c r="A224" s="16"/>
      <c r="B224" s="16"/>
      <c r="C224" s="16"/>
      <c r="D224" s="16"/>
      <c r="E224" s="17"/>
      <c r="F224" s="17"/>
      <c r="G224" s="17"/>
      <c r="H224" s="16" t="str">
        <f aca="true">IF(E224="","",IF(G224&lt;&gt;"",G224-E224,TODAY()-E224))</f>
        <v/>
      </c>
      <c r="I224" s="16"/>
      <c r="J224" s="16"/>
      <c r="K224" s="16"/>
      <c r="L224" s="16" t="str">
        <f aca="true">IF(AND(I224="Open",F224&lt;&gt;"",TODAY()&gt;F224),"OVERDUE","")</f>
        <v/>
      </c>
      <c r="M224" s="16"/>
    </row>
    <row r="225" customFormat="false" ht="15" hidden="false" customHeight="false" outlineLevel="0" collapsed="false">
      <c r="A225" s="16"/>
      <c r="B225" s="16"/>
      <c r="C225" s="16"/>
      <c r="D225" s="16"/>
      <c r="E225" s="17"/>
      <c r="F225" s="17"/>
      <c r="G225" s="17"/>
      <c r="H225" s="16" t="str">
        <f aca="true">IF(E225="","",IF(G225&lt;&gt;"",G225-E225,TODAY()-E225))</f>
        <v/>
      </c>
      <c r="I225" s="16"/>
      <c r="J225" s="16"/>
      <c r="K225" s="16"/>
      <c r="L225" s="16" t="str">
        <f aca="true">IF(AND(I225="Open",F225&lt;&gt;"",TODAY()&gt;F225),"OVERDUE","")</f>
        <v/>
      </c>
      <c r="M225" s="16"/>
    </row>
    <row r="226" customFormat="false" ht="15" hidden="false" customHeight="false" outlineLevel="0" collapsed="false">
      <c r="A226" s="16"/>
      <c r="B226" s="16"/>
      <c r="C226" s="16"/>
      <c r="D226" s="16"/>
      <c r="E226" s="17"/>
      <c r="F226" s="17"/>
      <c r="G226" s="17"/>
      <c r="H226" s="16" t="str">
        <f aca="true">IF(E226="","",IF(G226&lt;&gt;"",G226-E226,TODAY()-E226))</f>
        <v/>
      </c>
      <c r="I226" s="16"/>
      <c r="J226" s="16"/>
      <c r="K226" s="16"/>
      <c r="L226" s="16" t="str">
        <f aca="true">IF(AND(I226="Open",F226&lt;&gt;"",TODAY()&gt;F226),"OVERDUE","")</f>
        <v/>
      </c>
      <c r="M226" s="16"/>
    </row>
    <row r="227" customFormat="false" ht="15" hidden="false" customHeight="false" outlineLevel="0" collapsed="false">
      <c r="A227" s="16"/>
      <c r="B227" s="16"/>
      <c r="C227" s="16"/>
      <c r="D227" s="16"/>
      <c r="E227" s="17"/>
      <c r="F227" s="17"/>
      <c r="G227" s="17"/>
      <c r="H227" s="16" t="str">
        <f aca="true">IF(E227="","",IF(G227&lt;&gt;"",G227-E227,TODAY()-E227))</f>
        <v/>
      </c>
      <c r="I227" s="16"/>
      <c r="J227" s="16"/>
      <c r="K227" s="16"/>
      <c r="L227" s="16" t="str">
        <f aca="true">IF(AND(I227="Open",F227&lt;&gt;"",TODAY()&gt;F227),"OVERDUE","")</f>
        <v/>
      </c>
      <c r="M227" s="16"/>
    </row>
    <row r="228" customFormat="false" ht="15" hidden="false" customHeight="false" outlineLevel="0" collapsed="false">
      <c r="A228" s="16"/>
      <c r="B228" s="16"/>
      <c r="C228" s="16"/>
      <c r="D228" s="16"/>
      <c r="E228" s="17"/>
      <c r="F228" s="17"/>
      <c r="G228" s="17"/>
      <c r="H228" s="16" t="str">
        <f aca="true">IF(E228="","",IF(G228&lt;&gt;"",G228-E228,TODAY()-E228))</f>
        <v/>
      </c>
      <c r="I228" s="16"/>
      <c r="J228" s="16"/>
      <c r="K228" s="16"/>
      <c r="L228" s="16" t="str">
        <f aca="true">IF(AND(I228="Open",F228&lt;&gt;"",TODAY()&gt;F228),"OVERDUE","")</f>
        <v/>
      </c>
      <c r="M228" s="16"/>
    </row>
    <row r="229" customFormat="false" ht="15" hidden="false" customHeight="false" outlineLevel="0" collapsed="false">
      <c r="A229" s="16"/>
      <c r="B229" s="16"/>
      <c r="C229" s="16"/>
      <c r="D229" s="16"/>
      <c r="E229" s="17"/>
      <c r="F229" s="17"/>
      <c r="G229" s="17"/>
      <c r="H229" s="16" t="str">
        <f aca="true">IF(E229="","",IF(G229&lt;&gt;"",G229-E229,TODAY()-E229))</f>
        <v/>
      </c>
      <c r="I229" s="16"/>
      <c r="J229" s="16"/>
      <c r="K229" s="16"/>
      <c r="L229" s="16" t="str">
        <f aca="true">IF(AND(I229="Open",F229&lt;&gt;"",TODAY()&gt;F229),"OVERDUE","")</f>
        <v/>
      </c>
      <c r="M229" s="16"/>
    </row>
    <row r="230" customFormat="false" ht="15" hidden="false" customHeight="false" outlineLevel="0" collapsed="false">
      <c r="A230" s="16"/>
      <c r="B230" s="16"/>
      <c r="C230" s="16"/>
      <c r="D230" s="16"/>
      <c r="E230" s="17"/>
      <c r="F230" s="17"/>
      <c r="G230" s="17"/>
      <c r="H230" s="16" t="str">
        <f aca="true">IF(E230="","",IF(G230&lt;&gt;"",G230-E230,TODAY()-E230))</f>
        <v/>
      </c>
      <c r="I230" s="16"/>
      <c r="J230" s="16"/>
      <c r="K230" s="16"/>
      <c r="L230" s="16" t="str">
        <f aca="true">IF(AND(I230="Open",F230&lt;&gt;"",TODAY()&gt;F230),"OVERDUE","")</f>
        <v/>
      </c>
      <c r="M230" s="16"/>
    </row>
    <row r="231" customFormat="false" ht="15" hidden="false" customHeight="false" outlineLevel="0" collapsed="false">
      <c r="A231" s="16"/>
      <c r="B231" s="16"/>
      <c r="C231" s="16"/>
      <c r="D231" s="16"/>
      <c r="E231" s="17"/>
      <c r="F231" s="17"/>
      <c r="G231" s="17"/>
      <c r="H231" s="16" t="str">
        <f aca="true">IF(E231="","",IF(G231&lt;&gt;"",G231-E231,TODAY()-E231))</f>
        <v/>
      </c>
      <c r="I231" s="16"/>
      <c r="J231" s="16"/>
      <c r="K231" s="16"/>
      <c r="L231" s="16" t="str">
        <f aca="true">IF(AND(I231="Open",F231&lt;&gt;"",TODAY()&gt;F231),"OVERDUE","")</f>
        <v/>
      </c>
      <c r="M231" s="16"/>
    </row>
    <row r="232" customFormat="false" ht="15" hidden="false" customHeight="false" outlineLevel="0" collapsed="false">
      <c r="A232" s="16"/>
      <c r="B232" s="16"/>
      <c r="C232" s="16"/>
      <c r="D232" s="16"/>
      <c r="E232" s="17"/>
      <c r="F232" s="17"/>
      <c r="G232" s="17"/>
      <c r="H232" s="16" t="str">
        <f aca="true">IF(E232="","",IF(G232&lt;&gt;"",G232-E232,TODAY()-E232))</f>
        <v/>
      </c>
      <c r="I232" s="16"/>
      <c r="J232" s="16"/>
      <c r="K232" s="16"/>
      <c r="L232" s="16" t="str">
        <f aca="true">IF(AND(I232="Open",F232&lt;&gt;"",TODAY()&gt;F232),"OVERDUE","")</f>
        <v/>
      </c>
      <c r="M232" s="16"/>
    </row>
    <row r="233" customFormat="false" ht="15" hidden="false" customHeight="false" outlineLevel="0" collapsed="false">
      <c r="A233" s="16"/>
      <c r="B233" s="16"/>
      <c r="C233" s="16"/>
      <c r="D233" s="16"/>
      <c r="E233" s="17"/>
      <c r="F233" s="17"/>
      <c r="G233" s="17"/>
      <c r="H233" s="16" t="str">
        <f aca="true">IF(E233="","",IF(G233&lt;&gt;"",G233-E233,TODAY()-E233))</f>
        <v/>
      </c>
      <c r="I233" s="16"/>
      <c r="J233" s="16"/>
      <c r="K233" s="16"/>
      <c r="L233" s="16" t="str">
        <f aca="true">IF(AND(I233="Open",F233&lt;&gt;"",TODAY()&gt;F233),"OVERDUE","")</f>
        <v/>
      </c>
      <c r="M233" s="16"/>
    </row>
    <row r="234" customFormat="false" ht="15" hidden="false" customHeight="false" outlineLevel="0" collapsed="false">
      <c r="A234" s="16"/>
      <c r="B234" s="16"/>
      <c r="C234" s="16"/>
      <c r="D234" s="16"/>
      <c r="E234" s="17"/>
      <c r="F234" s="17"/>
      <c r="G234" s="17"/>
      <c r="H234" s="16" t="str">
        <f aca="true">IF(E234="","",IF(G234&lt;&gt;"",G234-E234,TODAY()-E234))</f>
        <v/>
      </c>
      <c r="I234" s="16"/>
      <c r="J234" s="16"/>
      <c r="K234" s="16"/>
      <c r="L234" s="16" t="str">
        <f aca="true">IF(AND(I234="Open",F234&lt;&gt;"",TODAY()&gt;F234),"OVERDUE","")</f>
        <v/>
      </c>
      <c r="M234" s="16"/>
    </row>
    <row r="235" customFormat="false" ht="15" hidden="false" customHeight="false" outlineLevel="0" collapsed="false">
      <c r="A235" s="16"/>
      <c r="B235" s="16"/>
      <c r="C235" s="16"/>
      <c r="D235" s="16"/>
      <c r="E235" s="17"/>
      <c r="F235" s="17"/>
      <c r="G235" s="17"/>
      <c r="H235" s="16" t="str">
        <f aca="true">IF(E235="","",IF(G235&lt;&gt;"",G235-E235,TODAY()-E235))</f>
        <v/>
      </c>
      <c r="I235" s="16"/>
      <c r="J235" s="16"/>
      <c r="K235" s="16"/>
      <c r="L235" s="16" t="str">
        <f aca="true">IF(AND(I235="Open",F235&lt;&gt;"",TODAY()&gt;F235),"OVERDUE","")</f>
        <v/>
      </c>
      <c r="M235" s="16"/>
    </row>
    <row r="236" customFormat="false" ht="15" hidden="false" customHeight="false" outlineLevel="0" collapsed="false">
      <c r="A236" s="16"/>
      <c r="B236" s="16"/>
      <c r="C236" s="16"/>
      <c r="D236" s="16"/>
      <c r="E236" s="17"/>
      <c r="F236" s="17"/>
      <c r="G236" s="17"/>
      <c r="H236" s="16" t="str">
        <f aca="true">IF(E236="","",IF(G236&lt;&gt;"",G236-E236,TODAY()-E236))</f>
        <v/>
      </c>
      <c r="I236" s="16"/>
      <c r="J236" s="16"/>
      <c r="K236" s="16"/>
      <c r="L236" s="16" t="str">
        <f aca="true">IF(AND(I236="Open",F236&lt;&gt;"",TODAY()&gt;F236),"OVERDUE","")</f>
        <v/>
      </c>
      <c r="M236" s="16"/>
    </row>
    <row r="237" customFormat="false" ht="15" hidden="false" customHeight="false" outlineLevel="0" collapsed="false">
      <c r="A237" s="16"/>
      <c r="B237" s="16"/>
      <c r="C237" s="16"/>
      <c r="D237" s="16"/>
      <c r="E237" s="17"/>
      <c r="F237" s="17"/>
      <c r="G237" s="17"/>
      <c r="H237" s="16" t="str">
        <f aca="true">IF(E237="","",IF(G237&lt;&gt;"",G237-E237,TODAY()-E237))</f>
        <v/>
      </c>
      <c r="I237" s="16"/>
      <c r="J237" s="16"/>
      <c r="K237" s="16"/>
      <c r="L237" s="16" t="str">
        <f aca="true">IF(AND(I237="Open",F237&lt;&gt;"",TODAY()&gt;F237),"OVERDUE","")</f>
        <v/>
      </c>
      <c r="M237" s="16"/>
    </row>
    <row r="238" customFormat="false" ht="15" hidden="false" customHeight="false" outlineLevel="0" collapsed="false">
      <c r="A238" s="16"/>
      <c r="B238" s="16"/>
      <c r="C238" s="16"/>
      <c r="D238" s="16"/>
      <c r="E238" s="17"/>
      <c r="F238" s="17"/>
      <c r="G238" s="17"/>
      <c r="H238" s="16" t="str">
        <f aca="true">IF(E238="","",IF(G238&lt;&gt;"",G238-E238,TODAY()-E238))</f>
        <v/>
      </c>
      <c r="I238" s="16"/>
      <c r="J238" s="16"/>
      <c r="K238" s="16"/>
      <c r="L238" s="16" t="str">
        <f aca="true">IF(AND(I238="Open",F238&lt;&gt;"",TODAY()&gt;F238),"OVERDUE","")</f>
        <v/>
      </c>
      <c r="M238" s="16"/>
    </row>
    <row r="239" customFormat="false" ht="15" hidden="false" customHeight="false" outlineLevel="0" collapsed="false">
      <c r="A239" s="16"/>
      <c r="B239" s="16"/>
      <c r="C239" s="16"/>
      <c r="D239" s="16"/>
      <c r="E239" s="17"/>
      <c r="F239" s="17"/>
      <c r="G239" s="17"/>
      <c r="H239" s="16" t="str">
        <f aca="true">IF(E239="","",IF(G239&lt;&gt;"",G239-E239,TODAY()-E239))</f>
        <v/>
      </c>
      <c r="I239" s="16"/>
      <c r="J239" s="16"/>
      <c r="K239" s="16"/>
      <c r="L239" s="16" t="str">
        <f aca="true">IF(AND(I239="Open",F239&lt;&gt;"",TODAY()&gt;F239),"OVERDUE","")</f>
        <v/>
      </c>
      <c r="M239" s="16"/>
    </row>
    <row r="240" customFormat="false" ht="15" hidden="false" customHeight="false" outlineLevel="0" collapsed="false">
      <c r="A240" s="16"/>
      <c r="B240" s="16"/>
      <c r="C240" s="16"/>
      <c r="D240" s="16"/>
      <c r="E240" s="17"/>
      <c r="F240" s="17"/>
      <c r="G240" s="17"/>
      <c r="H240" s="16" t="str">
        <f aca="true">IF(E240="","",IF(G240&lt;&gt;"",G240-E240,TODAY()-E240))</f>
        <v/>
      </c>
      <c r="I240" s="16"/>
      <c r="J240" s="16"/>
      <c r="K240" s="16"/>
      <c r="L240" s="16" t="str">
        <f aca="true">IF(AND(I240="Open",F240&lt;&gt;"",TODAY()&gt;F240),"OVERDUE","")</f>
        <v/>
      </c>
      <c r="M240" s="16"/>
    </row>
    <row r="241" customFormat="false" ht="15" hidden="false" customHeight="false" outlineLevel="0" collapsed="false">
      <c r="A241" s="16"/>
      <c r="B241" s="16"/>
      <c r="C241" s="16"/>
      <c r="D241" s="16"/>
      <c r="E241" s="17"/>
      <c r="F241" s="17"/>
      <c r="G241" s="17"/>
      <c r="H241" s="16" t="str">
        <f aca="true">IF(E241="","",IF(G241&lt;&gt;"",G241-E241,TODAY()-E241))</f>
        <v/>
      </c>
      <c r="I241" s="16"/>
      <c r="J241" s="16"/>
      <c r="K241" s="16"/>
      <c r="L241" s="16" t="str">
        <f aca="true">IF(AND(I241="Open",F241&lt;&gt;"",TODAY()&gt;F241),"OVERDUE","")</f>
        <v/>
      </c>
      <c r="M241" s="16"/>
    </row>
    <row r="242" customFormat="false" ht="15" hidden="false" customHeight="false" outlineLevel="0" collapsed="false">
      <c r="A242" s="16"/>
      <c r="B242" s="16"/>
      <c r="C242" s="16"/>
      <c r="D242" s="16"/>
      <c r="E242" s="17"/>
      <c r="F242" s="17"/>
      <c r="G242" s="17"/>
      <c r="H242" s="16" t="str">
        <f aca="true">IF(E242="","",IF(G242&lt;&gt;"",G242-E242,TODAY()-E242))</f>
        <v/>
      </c>
      <c r="I242" s="16"/>
      <c r="J242" s="16"/>
      <c r="K242" s="16"/>
      <c r="L242" s="16" t="str">
        <f aca="true">IF(AND(I242="Open",F242&lt;&gt;"",TODAY()&gt;F242),"OVERDUE","")</f>
        <v/>
      </c>
      <c r="M242" s="16"/>
    </row>
    <row r="243" customFormat="false" ht="15" hidden="false" customHeight="false" outlineLevel="0" collapsed="false">
      <c r="A243" s="16"/>
      <c r="B243" s="16"/>
      <c r="C243" s="16"/>
      <c r="D243" s="16"/>
      <c r="E243" s="17"/>
      <c r="F243" s="17"/>
      <c r="G243" s="17"/>
      <c r="H243" s="16" t="str">
        <f aca="true">IF(E243="","",IF(G243&lt;&gt;"",G243-E243,TODAY()-E243))</f>
        <v/>
      </c>
      <c r="I243" s="16"/>
      <c r="J243" s="16"/>
      <c r="K243" s="16"/>
      <c r="L243" s="16" t="str">
        <f aca="true">IF(AND(I243="Open",F243&lt;&gt;"",TODAY()&gt;F243),"OVERDUE","")</f>
        <v/>
      </c>
      <c r="M243" s="16"/>
    </row>
    <row r="244" customFormat="false" ht="15" hidden="false" customHeight="false" outlineLevel="0" collapsed="false">
      <c r="A244" s="16"/>
      <c r="B244" s="16"/>
      <c r="C244" s="16"/>
      <c r="D244" s="16"/>
      <c r="E244" s="17"/>
      <c r="F244" s="17"/>
      <c r="G244" s="17"/>
      <c r="H244" s="16" t="str">
        <f aca="true">IF(E244="","",IF(G244&lt;&gt;"",G244-E244,TODAY()-E244))</f>
        <v/>
      </c>
      <c r="I244" s="16"/>
      <c r="J244" s="16"/>
      <c r="K244" s="16"/>
      <c r="L244" s="16" t="str">
        <f aca="true">IF(AND(I244="Open",F244&lt;&gt;"",TODAY()&gt;F244),"OVERDUE","")</f>
        <v/>
      </c>
      <c r="M244" s="16"/>
    </row>
    <row r="245" customFormat="false" ht="15" hidden="false" customHeight="false" outlineLevel="0" collapsed="false">
      <c r="A245" s="16"/>
      <c r="B245" s="16"/>
      <c r="C245" s="16"/>
      <c r="D245" s="16"/>
      <c r="E245" s="17"/>
      <c r="F245" s="17"/>
      <c r="G245" s="17"/>
      <c r="H245" s="16" t="str">
        <f aca="true">IF(E245="","",IF(G245&lt;&gt;"",G245-E245,TODAY()-E245))</f>
        <v/>
      </c>
      <c r="I245" s="16"/>
      <c r="J245" s="16"/>
      <c r="K245" s="16"/>
      <c r="L245" s="16" t="str">
        <f aca="true">IF(AND(I245="Open",F245&lt;&gt;"",TODAY()&gt;F245),"OVERDUE","")</f>
        <v/>
      </c>
      <c r="M245" s="16"/>
    </row>
    <row r="246" customFormat="false" ht="15" hidden="false" customHeight="false" outlineLevel="0" collapsed="false">
      <c r="A246" s="16"/>
      <c r="B246" s="16"/>
      <c r="C246" s="16"/>
      <c r="D246" s="16"/>
      <c r="E246" s="17"/>
      <c r="F246" s="17"/>
      <c r="G246" s="17"/>
      <c r="H246" s="16" t="str">
        <f aca="true">IF(E246="","",IF(G246&lt;&gt;"",G246-E246,TODAY()-E246))</f>
        <v/>
      </c>
      <c r="I246" s="16"/>
      <c r="J246" s="16"/>
      <c r="K246" s="16"/>
      <c r="L246" s="16" t="str">
        <f aca="true">IF(AND(I246="Open",F246&lt;&gt;"",TODAY()&gt;F246),"OVERDUE","")</f>
        <v/>
      </c>
      <c r="M246" s="16"/>
    </row>
    <row r="247" customFormat="false" ht="15" hidden="false" customHeight="false" outlineLevel="0" collapsed="false">
      <c r="A247" s="16"/>
      <c r="B247" s="16"/>
      <c r="C247" s="16"/>
      <c r="D247" s="16"/>
      <c r="E247" s="17"/>
      <c r="F247" s="17"/>
      <c r="G247" s="17"/>
      <c r="H247" s="16" t="str">
        <f aca="true">IF(E247="","",IF(G247&lt;&gt;"",G247-E247,TODAY()-E247))</f>
        <v/>
      </c>
      <c r="I247" s="16"/>
      <c r="J247" s="16"/>
      <c r="K247" s="16"/>
      <c r="L247" s="16" t="str">
        <f aca="true">IF(AND(I247="Open",F247&lt;&gt;"",TODAY()&gt;F247),"OVERDUE","")</f>
        <v/>
      </c>
      <c r="M247" s="16"/>
    </row>
    <row r="248" customFormat="false" ht="15" hidden="false" customHeight="false" outlineLevel="0" collapsed="false">
      <c r="A248" s="16"/>
      <c r="B248" s="16"/>
      <c r="C248" s="16"/>
      <c r="D248" s="16"/>
      <c r="E248" s="17"/>
      <c r="F248" s="17"/>
      <c r="G248" s="17"/>
      <c r="H248" s="16" t="str">
        <f aca="true">IF(E248="","",IF(G248&lt;&gt;"",G248-E248,TODAY()-E248))</f>
        <v/>
      </c>
      <c r="I248" s="16"/>
      <c r="J248" s="16"/>
      <c r="K248" s="16"/>
      <c r="L248" s="16" t="str">
        <f aca="true">IF(AND(I248="Open",F248&lt;&gt;"",TODAY()&gt;F248),"OVERDUE","")</f>
        <v/>
      </c>
      <c r="M248" s="16"/>
    </row>
    <row r="249" customFormat="false" ht="15" hidden="false" customHeight="false" outlineLevel="0" collapsed="false">
      <c r="A249" s="16"/>
      <c r="B249" s="16"/>
      <c r="C249" s="16"/>
      <c r="D249" s="16"/>
      <c r="E249" s="17"/>
      <c r="F249" s="17"/>
      <c r="G249" s="17"/>
      <c r="H249" s="16" t="str">
        <f aca="true">IF(E249="","",IF(G249&lt;&gt;"",G249-E249,TODAY()-E249))</f>
        <v/>
      </c>
      <c r="I249" s="16"/>
      <c r="J249" s="16"/>
      <c r="K249" s="16"/>
      <c r="L249" s="16" t="str">
        <f aca="true">IF(AND(I249="Open",F249&lt;&gt;"",TODAY()&gt;F249),"OVERDUE","")</f>
        <v/>
      </c>
      <c r="M249" s="16"/>
    </row>
    <row r="250" customFormat="false" ht="15" hidden="false" customHeight="false" outlineLevel="0" collapsed="false">
      <c r="A250" s="16"/>
      <c r="B250" s="16"/>
      <c r="C250" s="16"/>
      <c r="D250" s="16"/>
      <c r="E250" s="17"/>
      <c r="F250" s="17"/>
      <c r="G250" s="17"/>
      <c r="H250" s="16" t="str">
        <f aca="true">IF(E250="","",IF(G250&lt;&gt;"",G250-E250,TODAY()-E250))</f>
        <v/>
      </c>
      <c r="I250" s="16"/>
      <c r="J250" s="16"/>
      <c r="K250" s="16"/>
      <c r="L250" s="16" t="str">
        <f aca="true">IF(AND(I250="Open",F250&lt;&gt;"",TODAY()&gt;F250),"OVERDUE","")</f>
        <v/>
      </c>
      <c r="M250" s="16"/>
    </row>
    <row r="251" customFormat="false" ht="15" hidden="false" customHeight="false" outlineLevel="0" collapsed="false">
      <c r="A251" s="16"/>
      <c r="B251" s="16"/>
      <c r="C251" s="16"/>
      <c r="D251" s="16"/>
      <c r="E251" s="17"/>
      <c r="F251" s="17"/>
      <c r="G251" s="17"/>
      <c r="H251" s="16" t="str">
        <f aca="true">IF(E251="","",IF(G251&lt;&gt;"",G251-E251,TODAY()-E251))</f>
        <v/>
      </c>
      <c r="I251" s="16"/>
      <c r="J251" s="16"/>
      <c r="K251" s="16"/>
      <c r="L251" s="16" t="str">
        <f aca="true">IF(AND(I251="Open",F251&lt;&gt;"",TODAY()&gt;F251),"OVERDUE","")</f>
        <v/>
      </c>
      <c r="M251" s="16"/>
    </row>
    <row r="252" customFormat="false" ht="15" hidden="false" customHeight="false" outlineLevel="0" collapsed="false">
      <c r="A252" s="16"/>
      <c r="B252" s="16"/>
      <c r="C252" s="16"/>
      <c r="D252" s="16"/>
      <c r="E252" s="17"/>
      <c r="F252" s="17"/>
      <c r="G252" s="17"/>
      <c r="H252" s="16" t="str">
        <f aca="true">IF(E252="","",IF(G252&lt;&gt;"",G252-E252,TODAY()-E252))</f>
        <v/>
      </c>
      <c r="I252" s="16"/>
      <c r="J252" s="16"/>
      <c r="K252" s="16"/>
      <c r="L252" s="16" t="str">
        <f aca="true">IF(AND(I252="Open",F252&lt;&gt;"",TODAY()&gt;F252),"OVERDUE","")</f>
        <v/>
      </c>
      <c r="M252" s="16"/>
    </row>
    <row r="253" customFormat="false" ht="15" hidden="false" customHeight="false" outlineLevel="0" collapsed="false">
      <c r="A253" s="16"/>
      <c r="B253" s="16"/>
      <c r="C253" s="16"/>
      <c r="D253" s="16"/>
      <c r="E253" s="17"/>
      <c r="F253" s="17"/>
      <c r="G253" s="17"/>
      <c r="H253" s="16" t="str">
        <f aca="true">IF(E253="","",IF(G253&lt;&gt;"",G253-E253,TODAY()-E253))</f>
        <v/>
      </c>
      <c r="I253" s="16"/>
      <c r="J253" s="16"/>
      <c r="K253" s="16"/>
      <c r="L253" s="16" t="str">
        <f aca="true">IF(AND(I253="Open",F253&lt;&gt;"",TODAY()&gt;F253),"OVERDUE","")</f>
        <v/>
      </c>
      <c r="M253" s="16"/>
    </row>
    <row r="254" customFormat="false" ht="15" hidden="false" customHeight="false" outlineLevel="0" collapsed="false">
      <c r="A254" s="16"/>
      <c r="B254" s="16"/>
      <c r="C254" s="16"/>
      <c r="D254" s="16"/>
      <c r="E254" s="17"/>
      <c r="F254" s="17"/>
      <c r="G254" s="17"/>
      <c r="H254" s="16" t="str">
        <f aca="true">IF(E254="","",IF(G254&lt;&gt;"",G254-E254,TODAY()-E254))</f>
        <v/>
      </c>
      <c r="I254" s="16"/>
      <c r="J254" s="16"/>
      <c r="K254" s="16"/>
      <c r="L254" s="16" t="str">
        <f aca="true">IF(AND(I254="Open",F254&lt;&gt;"",TODAY()&gt;F254),"OVERDUE","")</f>
        <v/>
      </c>
      <c r="M254" s="16"/>
    </row>
    <row r="255" customFormat="false" ht="15" hidden="false" customHeight="false" outlineLevel="0" collapsed="false">
      <c r="A255" s="16"/>
      <c r="B255" s="16"/>
      <c r="C255" s="16"/>
      <c r="D255" s="16"/>
      <c r="E255" s="17"/>
      <c r="F255" s="17"/>
      <c r="G255" s="17"/>
      <c r="H255" s="16" t="str">
        <f aca="true">IF(E255="","",IF(G255&lt;&gt;"",G255-E255,TODAY()-E255))</f>
        <v/>
      </c>
      <c r="I255" s="16"/>
      <c r="J255" s="16"/>
      <c r="K255" s="16"/>
      <c r="L255" s="16" t="str">
        <f aca="true">IF(AND(I255="Open",F255&lt;&gt;"",TODAY()&gt;F255),"OVERDUE","")</f>
        <v/>
      </c>
      <c r="M255" s="16"/>
    </row>
    <row r="256" customFormat="false" ht="15" hidden="false" customHeight="false" outlineLevel="0" collapsed="false">
      <c r="A256" s="16"/>
      <c r="B256" s="16"/>
      <c r="C256" s="16"/>
      <c r="D256" s="16"/>
      <c r="E256" s="17"/>
      <c r="F256" s="17"/>
      <c r="G256" s="17"/>
      <c r="H256" s="16" t="str">
        <f aca="true">IF(E256="","",IF(G256&lt;&gt;"",G256-E256,TODAY()-E256))</f>
        <v/>
      </c>
      <c r="I256" s="16"/>
      <c r="J256" s="16"/>
      <c r="K256" s="16"/>
      <c r="L256" s="16" t="str">
        <f aca="true">IF(AND(I256="Open",F256&lt;&gt;"",TODAY()&gt;F256),"OVERDUE","")</f>
        <v/>
      </c>
      <c r="M256" s="16"/>
    </row>
    <row r="257" customFormat="false" ht="15" hidden="false" customHeight="false" outlineLevel="0" collapsed="false">
      <c r="A257" s="16"/>
      <c r="B257" s="16"/>
      <c r="C257" s="16"/>
      <c r="D257" s="16"/>
      <c r="E257" s="17"/>
      <c r="F257" s="17"/>
      <c r="G257" s="17"/>
      <c r="H257" s="16" t="str">
        <f aca="true">IF(E257="","",IF(G257&lt;&gt;"",G257-E257,TODAY()-E257))</f>
        <v/>
      </c>
      <c r="I257" s="16"/>
      <c r="J257" s="16"/>
      <c r="K257" s="16"/>
      <c r="L257" s="16" t="str">
        <f aca="true">IF(AND(I257="Open",F257&lt;&gt;"",TODAY()&gt;F257),"OVERDUE","")</f>
        <v/>
      </c>
      <c r="M257" s="16"/>
    </row>
    <row r="258" customFormat="false" ht="15" hidden="false" customHeight="false" outlineLevel="0" collapsed="false">
      <c r="A258" s="16"/>
      <c r="B258" s="16"/>
      <c r="C258" s="16"/>
      <c r="D258" s="16"/>
      <c r="E258" s="17"/>
      <c r="F258" s="17"/>
      <c r="G258" s="17"/>
      <c r="H258" s="16" t="str">
        <f aca="true">IF(E258="","",IF(G258&lt;&gt;"",G258-E258,TODAY()-E258))</f>
        <v/>
      </c>
      <c r="I258" s="16"/>
      <c r="J258" s="16"/>
      <c r="K258" s="16"/>
      <c r="L258" s="16" t="str">
        <f aca="true">IF(AND(I258="Open",F258&lt;&gt;"",TODAY()&gt;F258),"OVERDUE","")</f>
        <v/>
      </c>
      <c r="M258" s="16"/>
    </row>
    <row r="259" customFormat="false" ht="15" hidden="false" customHeight="false" outlineLevel="0" collapsed="false">
      <c r="A259" s="16"/>
      <c r="B259" s="16"/>
      <c r="C259" s="16"/>
      <c r="D259" s="16"/>
      <c r="E259" s="17"/>
      <c r="F259" s="17"/>
      <c r="G259" s="17"/>
      <c r="H259" s="16" t="str">
        <f aca="true">IF(E259="","",IF(G259&lt;&gt;"",G259-E259,TODAY()-E259))</f>
        <v/>
      </c>
      <c r="I259" s="16"/>
      <c r="J259" s="16"/>
      <c r="K259" s="16"/>
      <c r="L259" s="16" t="str">
        <f aca="true">IF(AND(I259="Open",F259&lt;&gt;"",TODAY()&gt;F259),"OVERDUE","")</f>
        <v/>
      </c>
      <c r="M259" s="16"/>
    </row>
    <row r="260" customFormat="false" ht="15" hidden="false" customHeight="false" outlineLevel="0" collapsed="false">
      <c r="A260" s="16"/>
      <c r="B260" s="16"/>
      <c r="C260" s="16"/>
      <c r="D260" s="16"/>
      <c r="E260" s="17"/>
      <c r="F260" s="17"/>
      <c r="G260" s="17"/>
      <c r="H260" s="16" t="str">
        <f aca="true">IF(E260="","",IF(G260&lt;&gt;"",G260-E260,TODAY()-E260))</f>
        <v/>
      </c>
      <c r="I260" s="16"/>
      <c r="J260" s="16"/>
      <c r="K260" s="16"/>
      <c r="L260" s="16" t="str">
        <f aca="true">IF(AND(I260="Open",F260&lt;&gt;"",TODAY()&gt;F260),"OVERDUE","")</f>
        <v/>
      </c>
      <c r="M260" s="16"/>
    </row>
    <row r="261" customFormat="false" ht="15" hidden="false" customHeight="false" outlineLevel="0" collapsed="false">
      <c r="A261" s="16"/>
      <c r="B261" s="16"/>
      <c r="C261" s="16"/>
      <c r="D261" s="16"/>
      <c r="E261" s="17"/>
      <c r="F261" s="17"/>
      <c r="G261" s="17"/>
      <c r="H261" s="16" t="str">
        <f aca="true">IF(E261="","",IF(G261&lt;&gt;"",G261-E261,TODAY()-E261))</f>
        <v/>
      </c>
      <c r="I261" s="16"/>
      <c r="J261" s="16"/>
      <c r="K261" s="16"/>
      <c r="L261" s="16" t="str">
        <f aca="true">IF(AND(I261="Open",F261&lt;&gt;"",TODAY()&gt;F261),"OVERDUE","")</f>
        <v/>
      </c>
      <c r="M261" s="16"/>
    </row>
    <row r="262" customFormat="false" ht="15" hidden="false" customHeight="false" outlineLevel="0" collapsed="false">
      <c r="A262" s="16"/>
      <c r="B262" s="16"/>
      <c r="C262" s="16"/>
      <c r="D262" s="16"/>
      <c r="E262" s="17"/>
      <c r="F262" s="17"/>
      <c r="G262" s="17"/>
      <c r="H262" s="16" t="str">
        <f aca="true">IF(E262="","",IF(G262&lt;&gt;"",G262-E262,TODAY()-E262))</f>
        <v/>
      </c>
      <c r="I262" s="16"/>
      <c r="J262" s="16"/>
      <c r="K262" s="16"/>
      <c r="L262" s="16" t="str">
        <f aca="true">IF(AND(I262="Open",F262&lt;&gt;"",TODAY()&gt;F262),"OVERDUE","")</f>
        <v/>
      </c>
      <c r="M262" s="16"/>
    </row>
    <row r="263" customFormat="false" ht="15" hidden="false" customHeight="false" outlineLevel="0" collapsed="false">
      <c r="A263" s="16"/>
      <c r="B263" s="16"/>
      <c r="C263" s="16"/>
      <c r="D263" s="16"/>
      <c r="E263" s="17"/>
      <c r="F263" s="17"/>
      <c r="G263" s="17"/>
      <c r="H263" s="16" t="str">
        <f aca="true">IF(E263="","",IF(G263&lt;&gt;"",G263-E263,TODAY()-E263))</f>
        <v/>
      </c>
      <c r="I263" s="16"/>
      <c r="J263" s="16"/>
      <c r="K263" s="16"/>
      <c r="L263" s="16" t="str">
        <f aca="true">IF(AND(I263="Open",F263&lt;&gt;"",TODAY()&gt;F263),"OVERDUE","")</f>
        <v/>
      </c>
      <c r="M263" s="16"/>
    </row>
    <row r="264" customFormat="false" ht="15" hidden="false" customHeight="false" outlineLevel="0" collapsed="false">
      <c r="A264" s="16"/>
      <c r="B264" s="16"/>
      <c r="C264" s="16"/>
      <c r="D264" s="16"/>
      <c r="E264" s="17"/>
      <c r="F264" s="17"/>
      <c r="G264" s="17"/>
      <c r="H264" s="16" t="str">
        <f aca="true">IF(E264="","",IF(G264&lt;&gt;"",G264-E264,TODAY()-E264))</f>
        <v/>
      </c>
      <c r="I264" s="16"/>
      <c r="J264" s="16"/>
      <c r="K264" s="16"/>
      <c r="L264" s="16" t="str">
        <f aca="true">IF(AND(I264="Open",F264&lt;&gt;"",TODAY()&gt;F264),"OVERDUE","")</f>
        <v/>
      </c>
      <c r="M264" s="16"/>
    </row>
    <row r="265" customFormat="false" ht="15" hidden="false" customHeight="false" outlineLevel="0" collapsed="false">
      <c r="A265" s="16"/>
      <c r="B265" s="16"/>
      <c r="C265" s="16"/>
      <c r="D265" s="16"/>
      <c r="E265" s="17"/>
      <c r="F265" s="17"/>
      <c r="G265" s="17"/>
      <c r="H265" s="16" t="str">
        <f aca="true">IF(E265="","",IF(G265&lt;&gt;"",G265-E265,TODAY()-E265))</f>
        <v/>
      </c>
      <c r="I265" s="16"/>
      <c r="J265" s="16"/>
      <c r="K265" s="16"/>
      <c r="L265" s="16" t="str">
        <f aca="true">IF(AND(I265="Open",F265&lt;&gt;"",TODAY()&gt;F265),"OVERDUE","")</f>
        <v/>
      </c>
      <c r="M265" s="16"/>
    </row>
    <row r="266" customFormat="false" ht="15" hidden="false" customHeight="false" outlineLevel="0" collapsed="false">
      <c r="A266" s="16"/>
      <c r="B266" s="16"/>
      <c r="C266" s="16"/>
      <c r="D266" s="16"/>
      <c r="E266" s="17"/>
      <c r="F266" s="17"/>
      <c r="G266" s="17"/>
      <c r="H266" s="16" t="str">
        <f aca="true">IF(E266="","",IF(G266&lt;&gt;"",G266-E266,TODAY()-E266))</f>
        <v/>
      </c>
      <c r="I266" s="16"/>
      <c r="J266" s="16"/>
      <c r="K266" s="16"/>
      <c r="L266" s="16" t="str">
        <f aca="true">IF(AND(I266="Open",F266&lt;&gt;"",TODAY()&gt;F266),"OVERDUE","")</f>
        <v/>
      </c>
      <c r="M266" s="16"/>
    </row>
    <row r="267" customFormat="false" ht="15" hidden="false" customHeight="false" outlineLevel="0" collapsed="false">
      <c r="A267" s="16"/>
      <c r="B267" s="16"/>
      <c r="C267" s="16"/>
      <c r="D267" s="16"/>
      <c r="E267" s="17"/>
      <c r="F267" s="17"/>
      <c r="G267" s="17"/>
      <c r="H267" s="16" t="str">
        <f aca="true">IF(E267="","",IF(G267&lt;&gt;"",G267-E267,TODAY()-E267))</f>
        <v/>
      </c>
      <c r="I267" s="16"/>
      <c r="J267" s="16"/>
      <c r="K267" s="16"/>
      <c r="L267" s="16" t="str">
        <f aca="true">IF(AND(I267="Open",F267&lt;&gt;"",TODAY()&gt;F267),"OVERDUE","")</f>
        <v/>
      </c>
      <c r="M267" s="16"/>
    </row>
    <row r="268" customFormat="false" ht="15" hidden="false" customHeight="false" outlineLevel="0" collapsed="false">
      <c r="A268" s="16"/>
      <c r="B268" s="16"/>
      <c r="C268" s="16"/>
      <c r="D268" s="16"/>
      <c r="E268" s="17"/>
      <c r="F268" s="17"/>
      <c r="G268" s="17"/>
      <c r="H268" s="16" t="str">
        <f aca="true">IF(E268="","",IF(G268&lt;&gt;"",G268-E268,TODAY()-E268))</f>
        <v/>
      </c>
      <c r="I268" s="16"/>
      <c r="J268" s="16"/>
      <c r="K268" s="16"/>
      <c r="L268" s="16" t="str">
        <f aca="true">IF(AND(I268="Open",F268&lt;&gt;"",TODAY()&gt;F268),"OVERDUE","")</f>
        <v/>
      </c>
      <c r="M268" s="16"/>
    </row>
    <row r="269" customFormat="false" ht="15" hidden="false" customHeight="false" outlineLevel="0" collapsed="false">
      <c r="A269" s="16"/>
      <c r="B269" s="16"/>
      <c r="C269" s="16"/>
      <c r="D269" s="16"/>
      <c r="E269" s="17"/>
      <c r="F269" s="17"/>
      <c r="G269" s="17"/>
      <c r="H269" s="16" t="str">
        <f aca="true">IF(E269="","",IF(G269&lt;&gt;"",G269-E269,TODAY()-E269))</f>
        <v/>
      </c>
      <c r="I269" s="16"/>
      <c r="J269" s="16"/>
      <c r="K269" s="16"/>
      <c r="L269" s="16" t="str">
        <f aca="true">IF(AND(I269="Open",F269&lt;&gt;"",TODAY()&gt;F269),"OVERDUE","")</f>
        <v/>
      </c>
      <c r="M269" s="16"/>
    </row>
    <row r="270" customFormat="false" ht="15" hidden="false" customHeight="false" outlineLevel="0" collapsed="false">
      <c r="A270" s="16"/>
      <c r="B270" s="16"/>
      <c r="C270" s="16"/>
      <c r="D270" s="16"/>
      <c r="E270" s="17"/>
      <c r="F270" s="17"/>
      <c r="G270" s="17"/>
      <c r="H270" s="16" t="str">
        <f aca="true">IF(E270="","",IF(G270&lt;&gt;"",G270-E270,TODAY()-E270))</f>
        <v/>
      </c>
      <c r="I270" s="16"/>
      <c r="J270" s="16"/>
      <c r="K270" s="16"/>
      <c r="L270" s="16" t="str">
        <f aca="true">IF(AND(I270="Open",F270&lt;&gt;"",TODAY()&gt;F270),"OVERDUE","")</f>
        <v/>
      </c>
      <c r="M270" s="16"/>
    </row>
    <row r="271" customFormat="false" ht="15" hidden="false" customHeight="false" outlineLevel="0" collapsed="false">
      <c r="A271" s="16"/>
      <c r="B271" s="16"/>
      <c r="C271" s="16"/>
      <c r="D271" s="16"/>
      <c r="E271" s="17"/>
      <c r="F271" s="17"/>
      <c r="G271" s="17"/>
      <c r="H271" s="16" t="str">
        <f aca="true">IF(E271="","",IF(G271&lt;&gt;"",G271-E271,TODAY()-E271))</f>
        <v/>
      </c>
      <c r="I271" s="16"/>
      <c r="J271" s="16"/>
      <c r="K271" s="16"/>
      <c r="L271" s="16" t="str">
        <f aca="true">IF(AND(I271="Open",F271&lt;&gt;"",TODAY()&gt;F271),"OVERDUE","")</f>
        <v/>
      </c>
      <c r="M271" s="16"/>
    </row>
    <row r="272" customFormat="false" ht="15" hidden="false" customHeight="false" outlineLevel="0" collapsed="false">
      <c r="A272" s="16"/>
      <c r="B272" s="16"/>
      <c r="C272" s="16"/>
      <c r="D272" s="16"/>
      <c r="E272" s="17"/>
      <c r="F272" s="17"/>
      <c r="G272" s="17"/>
      <c r="H272" s="16" t="str">
        <f aca="true">IF(E272="","",IF(G272&lt;&gt;"",G272-E272,TODAY()-E272))</f>
        <v/>
      </c>
      <c r="I272" s="16"/>
      <c r="J272" s="16"/>
      <c r="K272" s="16"/>
      <c r="L272" s="16" t="str">
        <f aca="true">IF(AND(I272="Open",F272&lt;&gt;"",TODAY()&gt;F272),"OVERDUE","")</f>
        <v/>
      </c>
      <c r="M272" s="16"/>
    </row>
    <row r="273" customFormat="false" ht="15" hidden="false" customHeight="false" outlineLevel="0" collapsed="false">
      <c r="A273" s="16"/>
      <c r="B273" s="16"/>
      <c r="C273" s="16"/>
      <c r="D273" s="16"/>
      <c r="E273" s="17"/>
      <c r="F273" s="17"/>
      <c r="G273" s="17"/>
      <c r="H273" s="16" t="str">
        <f aca="true">IF(E273="","",IF(G273&lt;&gt;"",G273-E273,TODAY()-E273))</f>
        <v/>
      </c>
      <c r="I273" s="16"/>
      <c r="J273" s="16"/>
      <c r="K273" s="16"/>
      <c r="L273" s="16" t="str">
        <f aca="true">IF(AND(I273="Open",F273&lt;&gt;"",TODAY()&gt;F273),"OVERDUE","")</f>
        <v/>
      </c>
      <c r="M273" s="16"/>
    </row>
    <row r="274" customFormat="false" ht="15" hidden="false" customHeight="false" outlineLevel="0" collapsed="false">
      <c r="A274" s="16"/>
      <c r="B274" s="16"/>
      <c r="C274" s="16"/>
      <c r="D274" s="16"/>
      <c r="E274" s="17"/>
      <c r="F274" s="17"/>
      <c r="G274" s="17"/>
      <c r="H274" s="16" t="str">
        <f aca="true">IF(E274="","",IF(G274&lt;&gt;"",G274-E274,TODAY()-E274))</f>
        <v/>
      </c>
      <c r="I274" s="16"/>
      <c r="J274" s="16"/>
      <c r="K274" s="16"/>
      <c r="L274" s="16" t="str">
        <f aca="true">IF(AND(I274="Open",F274&lt;&gt;"",TODAY()&gt;F274),"OVERDUE","")</f>
        <v/>
      </c>
      <c r="M274" s="16"/>
    </row>
    <row r="275" customFormat="false" ht="15" hidden="false" customHeight="false" outlineLevel="0" collapsed="false">
      <c r="A275" s="16"/>
      <c r="B275" s="16"/>
      <c r="C275" s="16"/>
      <c r="D275" s="16"/>
      <c r="E275" s="17"/>
      <c r="F275" s="17"/>
      <c r="G275" s="17"/>
      <c r="H275" s="16" t="str">
        <f aca="true">IF(E275="","",IF(G275&lt;&gt;"",G275-E275,TODAY()-E275))</f>
        <v/>
      </c>
      <c r="I275" s="16"/>
      <c r="J275" s="16"/>
      <c r="K275" s="16"/>
      <c r="L275" s="16" t="str">
        <f aca="true">IF(AND(I275="Open",F275&lt;&gt;"",TODAY()&gt;F275),"OVERDUE","")</f>
        <v/>
      </c>
      <c r="M275" s="16"/>
    </row>
    <row r="276" customFormat="false" ht="15" hidden="false" customHeight="false" outlineLevel="0" collapsed="false">
      <c r="A276" s="16"/>
      <c r="B276" s="16"/>
      <c r="C276" s="16"/>
      <c r="D276" s="16"/>
      <c r="E276" s="17"/>
      <c r="F276" s="17"/>
      <c r="G276" s="17"/>
      <c r="H276" s="16" t="str">
        <f aca="true">IF(E276="","",IF(G276&lt;&gt;"",G276-E276,TODAY()-E276))</f>
        <v/>
      </c>
      <c r="I276" s="16"/>
      <c r="J276" s="16"/>
      <c r="K276" s="16"/>
      <c r="L276" s="16" t="str">
        <f aca="true">IF(AND(I276="Open",F276&lt;&gt;"",TODAY()&gt;F276),"OVERDUE","")</f>
        <v/>
      </c>
      <c r="M276" s="16"/>
    </row>
    <row r="277" customFormat="false" ht="15" hidden="false" customHeight="false" outlineLevel="0" collapsed="false">
      <c r="A277" s="16"/>
      <c r="B277" s="16"/>
      <c r="C277" s="16"/>
      <c r="D277" s="16"/>
      <c r="E277" s="17"/>
      <c r="F277" s="17"/>
      <c r="G277" s="17"/>
      <c r="H277" s="16" t="str">
        <f aca="true">IF(E277="","",IF(G277&lt;&gt;"",G277-E277,TODAY()-E277))</f>
        <v/>
      </c>
      <c r="I277" s="16"/>
      <c r="J277" s="16"/>
      <c r="K277" s="16"/>
      <c r="L277" s="16" t="str">
        <f aca="true">IF(AND(I277="Open",F277&lt;&gt;"",TODAY()&gt;F277),"OVERDUE","")</f>
        <v/>
      </c>
      <c r="M277" s="16"/>
    </row>
    <row r="278" customFormat="false" ht="15" hidden="false" customHeight="false" outlineLevel="0" collapsed="false">
      <c r="A278" s="16"/>
      <c r="B278" s="16"/>
      <c r="C278" s="16"/>
      <c r="D278" s="16"/>
      <c r="E278" s="17"/>
      <c r="F278" s="17"/>
      <c r="G278" s="17"/>
      <c r="H278" s="16" t="str">
        <f aca="true">IF(E278="","",IF(G278&lt;&gt;"",G278-E278,TODAY()-E278))</f>
        <v/>
      </c>
      <c r="I278" s="16"/>
      <c r="J278" s="16"/>
      <c r="K278" s="16"/>
      <c r="L278" s="16" t="str">
        <f aca="true">IF(AND(I278="Open",F278&lt;&gt;"",TODAY()&gt;F278),"OVERDUE","")</f>
        <v/>
      </c>
      <c r="M278" s="16"/>
    </row>
    <row r="279" customFormat="false" ht="15" hidden="false" customHeight="false" outlineLevel="0" collapsed="false">
      <c r="A279" s="16"/>
      <c r="B279" s="16"/>
      <c r="C279" s="16"/>
      <c r="D279" s="16"/>
      <c r="E279" s="17"/>
      <c r="F279" s="17"/>
      <c r="G279" s="17"/>
      <c r="H279" s="16" t="str">
        <f aca="true">IF(E279="","",IF(G279&lt;&gt;"",G279-E279,TODAY()-E279))</f>
        <v/>
      </c>
      <c r="I279" s="16"/>
      <c r="J279" s="16"/>
      <c r="K279" s="16"/>
      <c r="L279" s="16" t="str">
        <f aca="true">IF(AND(I279="Open",F279&lt;&gt;"",TODAY()&gt;F279),"OVERDUE","")</f>
        <v/>
      </c>
      <c r="M279" s="16"/>
    </row>
    <row r="280" customFormat="false" ht="15" hidden="false" customHeight="false" outlineLevel="0" collapsed="false">
      <c r="A280" s="16"/>
      <c r="B280" s="16"/>
      <c r="C280" s="16"/>
      <c r="D280" s="16"/>
      <c r="E280" s="17"/>
      <c r="F280" s="17"/>
      <c r="G280" s="17"/>
      <c r="H280" s="16" t="str">
        <f aca="true">IF(E280="","",IF(G280&lt;&gt;"",G280-E280,TODAY()-E280))</f>
        <v/>
      </c>
      <c r="I280" s="16"/>
      <c r="J280" s="16"/>
      <c r="K280" s="16"/>
      <c r="L280" s="16" t="str">
        <f aca="true">IF(AND(I280="Open",F280&lt;&gt;"",TODAY()&gt;F280),"OVERDUE","")</f>
        <v/>
      </c>
      <c r="M280" s="16"/>
    </row>
    <row r="281" customFormat="false" ht="15" hidden="false" customHeight="false" outlineLevel="0" collapsed="false">
      <c r="A281" s="16"/>
      <c r="B281" s="16"/>
      <c r="C281" s="16"/>
      <c r="D281" s="16"/>
      <c r="E281" s="17"/>
      <c r="F281" s="17"/>
      <c r="G281" s="17"/>
      <c r="H281" s="16" t="str">
        <f aca="true">IF(E281="","",IF(G281&lt;&gt;"",G281-E281,TODAY()-E281))</f>
        <v/>
      </c>
      <c r="I281" s="16"/>
      <c r="J281" s="16"/>
      <c r="K281" s="16"/>
      <c r="L281" s="16" t="str">
        <f aca="true">IF(AND(I281="Open",F281&lt;&gt;"",TODAY()&gt;F281),"OVERDUE","")</f>
        <v/>
      </c>
      <c r="M281" s="16"/>
    </row>
    <row r="282" customFormat="false" ht="15" hidden="false" customHeight="false" outlineLevel="0" collapsed="false">
      <c r="A282" s="16"/>
      <c r="B282" s="16"/>
      <c r="C282" s="16"/>
      <c r="D282" s="16"/>
      <c r="E282" s="17"/>
      <c r="F282" s="17"/>
      <c r="G282" s="17"/>
      <c r="H282" s="16" t="str">
        <f aca="true">IF(E282="","",IF(G282&lt;&gt;"",G282-E282,TODAY()-E282))</f>
        <v/>
      </c>
      <c r="I282" s="16"/>
      <c r="J282" s="16"/>
      <c r="K282" s="16"/>
      <c r="L282" s="16" t="str">
        <f aca="true">IF(AND(I282="Open",F282&lt;&gt;"",TODAY()&gt;F282),"OVERDUE","")</f>
        <v/>
      </c>
      <c r="M282" s="16"/>
    </row>
    <row r="283" customFormat="false" ht="15" hidden="false" customHeight="false" outlineLevel="0" collapsed="false">
      <c r="A283" s="16"/>
      <c r="B283" s="16"/>
      <c r="C283" s="16"/>
      <c r="D283" s="16"/>
      <c r="E283" s="17"/>
      <c r="F283" s="17"/>
      <c r="G283" s="17"/>
      <c r="H283" s="16" t="str">
        <f aca="true">IF(E283="","",IF(G283&lt;&gt;"",G283-E283,TODAY()-E283))</f>
        <v/>
      </c>
      <c r="I283" s="16"/>
      <c r="J283" s="16"/>
      <c r="K283" s="16"/>
      <c r="L283" s="16" t="str">
        <f aca="true">IF(AND(I283="Open",F283&lt;&gt;"",TODAY()&gt;F283),"OVERDUE","")</f>
        <v/>
      </c>
      <c r="M283" s="16"/>
    </row>
    <row r="284" customFormat="false" ht="15" hidden="false" customHeight="false" outlineLevel="0" collapsed="false">
      <c r="A284" s="16"/>
      <c r="B284" s="16"/>
      <c r="C284" s="16"/>
      <c r="D284" s="16"/>
      <c r="E284" s="17"/>
      <c r="F284" s="17"/>
      <c r="G284" s="17"/>
      <c r="H284" s="16" t="str">
        <f aca="true">IF(E284="","",IF(G284&lt;&gt;"",G284-E284,TODAY()-E284))</f>
        <v/>
      </c>
      <c r="I284" s="16"/>
      <c r="J284" s="16"/>
      <c r="K284" s="16"/>
      <c r="L284" s="16" t="str">
        <f aca="true">IF(AND(I284="Open",F284&lt;&gt;"",TODAY()&gt;F284),"OVERDUE","")</f>
        <v/>
      </c>
      <c r="M284" s="16"/>
    </row>
    <row r="285" customFormat="false" ht="15" hidden="false" customHeight="false" outlineLevel="0" collapsed="false">
      <c r="A285" s="16"/>
      <c r="B285" s="16"/>
      <c r="C285" s="16"/>
      <c r="D285" s="16"/>
      <c r="E285" s="17"/>
      <c r="F285" s="17"/>
      <c r="G285" s="17"/>
      <c r="H285" s="16" t="str">
        <f aca="true">IF(E285="","",IF(G285&lt;&gt;"",G285-E285,TODAY()-E285))</f>
        <v/>
      </c>
      <c r="I285" s="16"/>
      <c r="J285" s="16"/>
      <c r="K285" s="16"/>
      <c r="L285" s="16" t="str">
        <f aca="true">IF(AND(I285="Open",F285&lt;&gt;"",TODAY()&gt;F285),"OVERDUE","")</f>
        <v/>
      </c>
      <c r="M285" s="16"/>
    </row>
    <row r="286" customFormat="false" ht="15" hidden="false" customHeight="false" outlineLevel="0" collapsed="false">
      <c r="A286" s="16"/>
      <c r="B286" s="16"/>
      <c r="C286" s="16"/>
      <c r="D286" s="16"/>
      <c r="E286" s="17"/>
      <c r="F286" s="17"/>
      <c r="G286" s="17"/>
      <c r="H286" s="16" t="str">
        <f aca="true">IF(E286="","",IF(G286&lt;&gt;"",G286-E286,TODAY()-E286))</f>
        <v/>
      </c>
      <c r="I286" s="16"/>
      <c r="J286" s="16"/>
      <c r="K286" s="16"/>
      <c r="L286" s="16" t="str">
        <f aca="true">IF(AND(I286="Open",F286&lt;&gt;"",TODAY()&gt;F286),"OVERDUE","")</f>
        <v/>
      </c>
      <c r="M286" s="16"/>
    </row>
    <row r="287" customFormat="false" ht="15" hidden="false" customHeight="false" outlineLevel="0" collapsed="false">
      <c r="A287" s="16"/>
      <c r="B287" s="16"/>
      <c r="C287" s="16"/>
      <c r="D287" s="16"/>
      <c r="E287" s="17"/>
      <c r="F287" s="17"/>
      <c r="G287" s="17"/>
      <c r="H287" s="16" t="str">
        <f aca="true">IF(E287="","",IF(G287&lt;&gt;"",G287-E287,TODAY()-E287))</f>
        <v/>
      </c>
      <c r="I287" s="16"/>
      <c r="J287" s="16"/>
      <c r="K287" s="16"/>
      <c r="L287" s="16" t="str">
        <f aca="true">IF(AND(I287="Open",F287&lt;&gt;"",TODAY()&gt;F287),"OVERDUE","")</f>
        <v/>
      </c>
      <c r="M287" s="16"/>
    </row>
    <row r="288" customFormat="false" ht="15" hidden="false" customHeight="false" outlineLevel="0" collapsed="false">
      <c r="A288" s="16"/>
      <c r="B288" s="16"/>
      <c r="C288" s="16"/>
      <c r="D288" s="16"/>
      <c r="E288" s="17"/>
      <c r="F288" s="17"/>
      <c r="G288" s="17"/>
      <c r="H288" s="16" t="str">
        <f aca="true">IF(E288="","",IF(G288&lt;&gt;"",G288-E288,TODAY()-E288))</f>
        <v/>
      </c>
      <c r="I288" s="16"/>
      <c r="J288" s="16"/>
      <c r="K288" s="16"/>
      <c r="L288" s="16" t="str">
        <f aca="true">IF(AND(I288="Open",F288&lt;&gt;"",TODAY()&gt;F288),"OVERDUE","")</f>
        <v/>
      </c>
      <c r="M288" s="16"/>
    </row>
    <row r="289" customFormat="false" ht="15" hidden="false" customHeight="false" outlineLevel="0" collapsed="false">
      <c r="A289" s="16"/>
      <c r="B289" s="16"/>
      <c r="C289" s="16"/>
      <c r="D289" s="16"/>
      <c r="E289" s="17"/>
      <c r="F289" s="17"/>
      <c r="G289" s="17"/>
      <c r="H289" s="16" t="str">
        <f aca="true">IF(E289="","",IF(G289&lt;&gt;"",G289-E289,TODAY()-E289))</f>
        <v/>
      </c>
      <c r="I289" s="16"/>
      <c r="J289" s="16"/>
      <c r="K289" s="16"/>
      <c r="L289" s="16" t="str">
        <f aca="true">IF(AND(I289="Open",F289&lt;&gt;"",TODAY()&gt;F289),"OVERDUE","")</f>
        <v/>
      </c>
      <c r="M289" s="16"/>
    </row>
    <row r="290" customFormat="false" ht="15" hidden="false" customHeight="false" outlineLevel="0" collapsed="false">
      <c r="A290" s="16"/>
      <c r="B290" s="16"/>
      <c r="C290" s="16"/>
      <c r="D290" s="16"/>
      <c r="E290" s="17"/>
      <c r="F290" s="17"/>
      <c r="G290" s="17"/>
      <c r="H290" s="16" t="str">
        <f aca="true">IF(E290="","",IF(G290&lt;&gt;"",G290-E290,TODAY()-E290))</f>
        <v/>
      </c>
      <c r="I290" s="16"/>
      <c r="J290" s="16"/>
      <c r="K290" s="16"/>
      <c r="L290" s="16" t="str">
        <f aca="true">IF(AND(I290="Open",F290&lt;&gt;"",TODAY()&gt;F290),"OVERDUE","")</f>
        <v/>
      </c>
      <c r="M290" s="16"/>
    </row>
    <row r="291" customFormat="false" ht="15" hidden="false" customHeight="false" outlineLevel="0" collapsed="false">
      <c r="A291" s="16"/>
      <c r="B291" s="16"/>
      <c r="C291" s="16"/>
      <c r="D291" s="16"/>
      <c r="E291" s="17"/>
      <c r="F291" s="17"/>
      <c r="G291" s="17"/>
      <c r="H291" s="16" t="str">
        <f aca="true">IF(E291="","",IF(G291&lt;&gt;"",G291-E291,TODAY()-E291))</f>
        <v/>
      </c>
      <c r="I291" s="16"/>
      <c r="J291" s="16"/>
      <c r="K291" s="16"/>
      <c r="L291" s="16" t="str">
        <f aca="true">IF(AND(I291="Open",F291&lt;&gt;"",TODAY()&gt;F291),"OVERDUE","")</f>
        <v/>
      </c>
      <c r="M291" s="16"/>
    </row>
    <row r="292" customFormat="false" ht="15" hidden="false" customHeight="false" outlineLevel="0" collapsed="false">
      <c r="A292" s="16"/>
      <c r="B292" s="16"/>
      <c r="C292" s="16"/>
      <c r="D292" s="16"/>
      <c r="E292" s="17"/>
      <c r="F292" s="17"/>
      <c r="G292" s="17"/>
      <c r="H292" s="16" t="str">
        <f aca="true">IF(E292="","",IF(G292&lt;&gt;"",G292-E292,TODAY()-E292))</f>
        <v/>
      </c>
      <c r="I292" s="16"/>
      <c r="J292" s="16"/>
      <c r="K292" s="16"/>
      <c r="L292" s="16" t="str">
        <f aca="true">IF(AND(I292="Open",F292&lt;&gt;"",TODAY()&gt;F292),"OVERDUE","")</f>
        <v/>
      </c>
      <c r="M292" s="16"/>
    </row>
    <row r="293" customFormat="false" ht="15" hidden="false" customHeight="false" outlineLevel="0" collapsed="false">
      <c r="A293" s="16"/>
      <c r="B293" s="16"/>
      <c r="C293" s="16"/>
      <c r="D293" s="16"/>
      <c r="E293" s="17"/>
      <c r="F293" s="17"/>
      <c r="G293" s="17"/>
      <c r="H293" s="16" t="str">
        <f aca="true">IF(E293="","",IF(G293&lt;&gt;"",G293-E293,TODAY()-E293))</f>
        <v/>
      </c>
      <c r="I293" s="16"/>
      <c r="J293" s="16"/>
      <c r="K293" s="16"/>
      <c r="L293" s="16" t="str">
        <f aca="true">IF(AND(I293="Open",F293&lt;&gt;"",TODAY()&gt;F293),"OVERDUE","")</f>
        <v/>
      </c>
      <c r="M293" s="16"/>
    </row>
    <row r="294" customFormat="false" ht="15" hidden="false" customHeight="false" outlineLevel="0" collapsed="false">
      <c r="A294" s="16"/>
      <c r="B294" s="16"/>
      <c r="C294" s="16"/>
      <c r="D294" s="16"/>
      <c r="E294" s="17"/>
      <c r="F294" s="17"/>
      <c r="G294" s="17"/>
      <c r="H294" s="16" t="str">
        <f aca="true">IF(E294="","",IF(G294&lt;&gt;"",G294-E294,TODAY()-E294))</f>
        <v/>
      </c>
      <c r="I294" s="16"/>
      <c r="J294" s="16"/>
      <c r="K294" s="16"/>
      <c r="L294" s="16" t="str">
        <f aca="true">IF(AND(I294="Open",F294&lt;&gt;"",TODAY()&gt;F294),"OVERDUE","")</f>
        <v/>
      </c>
      <c r="M294" s="16"/>
    </row>
    <row r="295" customFormat="false" ht="15" hidden="false" customHeight="false" outlineLevel="0" collapsed="false">
      <c r="A295" s="16"/>
      <c r="B295" s="16"/>
      <c r="C295" s="16"/>
      <c r="D295" s="16"/>
      <c r="E295" s="17"/>
      <c r="F295" s="17"/>
      <c r="G295" s="17"/>
      <c r="H295" s="16" t="str">
        <f aca="true">IF(E295="","",IF(G295&lt;&gt;"",G295-E295,TODAY()-E295))</f>
        <v/>
      </c>
      <c r="I295" s="16"/>
      <c r="J295" s="16"/>
      <c r="K295" s="16"/>
      <c r="L295" s="16" t="str">
        <f aca="true">IF(AND(I295="Open",F295&lt;&gt;"",TODAY()&gt;F295),"OVERDUE","")</f>
        <v/>
      </c>
      <c r="M295" s="16"/>
    </row>
    <row r="296" customFormat="false" ht="15" hidden="false" customHeight="false" outlineLevel="0" collapsed="false">
      <c r="A296" s="16"/>
      <c r="B296" s="16"/>
      <c r="C296" s="16"/>
      <c r="D296" s="16"/>
      <c r="E296" s="17"/>
      <c r="F296" s="17"/>
      <c r="G296" s="17"/>
      <c r="H296" s="16" t="str">
        <f aca="true">IF(E296="","",IF(G296&lt;&gt;"",G296-E296,TODAY()-E296))</f>
        <v/>
      </c>
      <c r="I296" s="16"/>
      <c r="J296" s="16"/>
      <c r="K296" s="16"/>
      <c r="L296" s="16" t="str">
        <f aca="true">IF(AND(I296="Open",F296&lt;&gt;"",TODAY()&gt;F296),"OVERDUE","")</f>
        <v/>
      </c>
      <c r="M296" s="16"/>
    </row>
    <row r="297" customFormat="false" ht="15" hidden="false" customHeight="false" outlineLevel="0" collapsed="false">
      <c r="A297" s="16"/>
      <c r="B297" s="16"/>
      <c r="C297" s="16"/>
      <c r="D297" s="16"/>
      <c r="E297" s="17"/>
      <c r="F297" s="17"/>
      <c r="G297" s="17"/>
      <c r="H297" s="16" t="str">
        <f aca="true">IF(E297="","",IF(G297&lt;&gt;"",G297-E297,TODAY()-E297))</f>
        <v/>
      </c>
      <c r="I297" s="16"/>
      <c r="J297" s="16"/>
      <c r="K297" s="16"/>
      <c r="L297" s="16" t="str">
        <f aca="true">IF(AND(I297="Open",F297&lt;&gt;"",TODAY()&gt;F297),"OVERDUE","")</f>
        <v/>
      </c>
      <c r="M297" s="16"/>
    </row>
    <row r="298" customFormat="false" ht="15" hidden="false" customHeight="false" outlineLevel="0" collapsed="false">
      <c r="A298" s="16"/>
      <c r="B298" s="16"/>
      <c r="C298" s="16"/>
      <c r="D298" s="16"/>
      <c r="E298" s="17"/>
      <c r="F298" s="17"/>
      <c r="G298" s="17"/>
      <c r="H298" s="16" t="str">
        <f aca="true">IF(E298="","",IF(G298&lt;&gt;"",G298-E298,TODAY()-E298))</f>
        <v/>
      </c>
      <c r="I298" s="16"/>
      <c r="J298" s="16"/>
      <c r="K298" s="16"/>
      <c r="L298" s="16" t="str">
        <f aca="true">IF(AND(I298="Open",F298&lt;&gt;"",TODAY()&gt;F298),"OVERDUE","")</f>
        <v/>
      </c>
      <c r="M298" s="16"/>
    </row>
    <row r="299" customFormat="false" ht="15" hidden="false" customHeight="false" outlineLevel="0" collapsed="false">
      <c r="A299" s="16"/>
      <c r="B299" s="16"/>
      <c r="C299" s="16"/>
      <c r="D299" s="16"/>
      <c r="E299" s="17"/>
      <c r="F299" s="17"/>
      <c r="G299" s="17"/>
      <c r="H299" s="16" t="str">
        <f aca="true">IF(E299="","",IF(G299&lt;&gt;"",G299-E299,TODAY()-E299))</f>
        <v/>
      </c>
      <c r="I299" s="16"/>
      <c r="J299" s="16"/>
      <c r="K299" s="16"/>
      <c r="L299" s="16" t="str">
        <f aca="true">IF(AND(I299="Open",F299&lt;&gt;"",TODAY()&gt;F299),"OVERDUE","")</f>
        <v/>
      </c>
      <c r="M299" s="16"/>
    </row>
    <row r="300" customFormat="false" ht="15" hidden="false" customHeight="false" outlineLevel="0" collapsed="false">
      <c r="A300" s="16"/>
      <c r="B300" s="16"/>
      <c r="C300" s="16"/>
      <c r="D300" s="16"/>
      <c r="E300" s="17"/>
      <c r="F300" s="17"/>
      <c r="G300" s="17"/>
      <c r="H300" s="16" t="str">
        <f aca="true">IF(E300="","",IF(G300&lt;&gt;"",G300-E300,TODAY()-E300))</f>
        <v/>
      </c>
      <c r="I300" s="16"/>
      <c r="J300" s="16"/>
      <c r="K300" s="16"/>
      <c r="L300" s="16" t="str">
        <f aca="true">IF(AND(I300="Open",F300&lt;&gt;"",TODAY()&gt;F300),"OVERDUE","")</f>
        <v/>
      </c>
      <c r="M300" s="16"/>
    </row>
    <row r="301" customFormat="false" ht="15" hidden="false" customHeight="false" outlineLevel="0" collapsed="false">
      <c r="A301" s="16"/>
      <c r="B301" s="16"/>
      <c r="C301" s="16"/>
      <c r="D301" s="16"/>
      <c r="E301" s="17"/>
      <c r="F301" s="17"/>
      <c r="G301" s="17"/>
      <c r="H301" s="16" t="str">
        <f aca="true">IF(E301="","",IF(G301&lt;&gt;"",G301-E301,TODAY()-E301))</f>
        <v/>
      </c>
      <c r="I301" s="16"/>
      <c r="J301" s="16"/>
      <c r="K301" s="16"/>
      <c r="L301" s="16" t="str">
        <f aca="true">IF(AND(I301="Open",F301&lt;&gt;"",TODAY()&gt;F301),"OVERDUE","")</f>
        <v/>
      </c>
      <c r="M301" s="16"/>
    </row>
  </sheetData>
  <autoFilter ref="A1:M301"/>
  <dataValidations count="2">
    <dataValidation allowBlank="true" error="Please choose an item from the dropdown list." errorStyle="stop" errorTitle="Invalid entry" operator="between" showDropDown="false" showErrorMessage="false" showInputMessage="false" sqref="A2:A301" type="list">
      <formula1>'Job List'!$A$2:$A$16</formula1>
      <formula2>0</formula2>
    </dataValidation>
    <dataValidation allowBlank="true" error="Please choose an item from the dropdown list." errorStyle="stop" errorTitle="Invalid entry" operator="between" showDropDown="false" showErrorMessage="false" showInputMessage="false" sqref="I2:I301" type="list">
      <formula1>"Open,Closed"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6" min="4" style="0" width="12"/>
    <col collapsed="false" customWidth="true" hidden="false" outlineLevel="0" max="7" min="7" style="0" width="13"/>
    <col collapsed="false" customWidth="true" hidden="false" outlineLevel="0" max="9" min="8" style="0" width="10"/>
    <col collapsed="false" customWidth="true" hidden="false" outlineLevel="0" max="10" min="10" style="0" width="20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7" t="s">
        <v>27</v>
      </c>
      <c r="B1" s="7" t="s">
        <v>28</v>
      </c>
      <c r="C1" s="7" t="s">
        <v>80</v>
      </c>
      <c r="D1" s="7" t="s">
        <v>81</v>
      </c>
      <c r="E1" s="7" t="s">
        <v>82</v>
      </c>
      <c r="F1" s="7" t="s">
        <v>83</v>
      </c>
      <c r="G1" s="7" t="s">
        <v>84</v>
      </c>
      <c r="H1" s="7" t="s">
        <v>74</v>
      </c>
      <c r="I1" s="7" t="s">
        <v>78</v>
      </c>
      <c r="J1" s="7" t="s">
        <v>75</v>
      </c>
      <c r="K1" s="7" t="s">
        <v>79</v>
      </c>
    </row>
    <row r="2" customFormat="false" ht="15" hidden="false" customHeight="false" outlineLevel="0" collapsed="false">
      <c r="A2" s="16"/>
      <c r="B2" s="16"/>
      <c r="C2" s="16"/>
      <c r="D2" s="16"/>
      <c r="E2" s="17"/>
      <c r="F2" s="17"/>
      <c r="G2" s="17"/>
      <c r="H2" s="16" t="str">
        <f aca="true">IF(E2="","",IF(G2&lt;&gt;"",G2-E2,TODAY()-E2))</f>
        <v/>
      </c>
      <c r="I2" s="16" t="str">
        <f aca="true">IF(AND(G2="",F2&lt;&gt;"",TODAY()&gt;F2),"OVERDUE","")</f>
        <v/>
      </c>
      <c r="J2" s="16"/>
      <c r="K2" s="16"/>
    </row>
    <row r="3" customFormat="false" ht="15" hidden="false" customHeight="false" outlineLevel="0" collapsed="false">
      <c r="A3" s="16"/>
      <c r="B3" s="16"/>
      <c r="C3" s="16"/>
      <c r="D3" s="16"/>
      <c r="E3" s="17"/>
      <c r="F3" s="17"/>
      <c r="G3" s="17"/>
      <c r="H3" s="16" t="str">
        <f aca="true">IF(E3="","",IF(G3&lt;&gt;"",G3-E3,TODAY()-E3))</f>
        <v/>
      </c>
      <c r="I3" s="16" t="str">
        <f aca="true">IF(AND(G3="",F3&lt;&gt;"",TODAY()&gt;F3),"OVERDUE","")</f>
        <v/>
      </c>
      <c r="J3" s="16"/>
      <c r="K3" s="16"/>
    </row>
    <row r="4" customFormat="false" ht="15" hidden="false" customHeight="false" outlineLevel="0" collapsed="false">
      <c r="A4" s="16"/>
      <c r="B4" s="16"/>
      <c r="C4" s="16"/>
      <c r="D4" s="16"/>
      <c r="E4" s="17"/>
      <c r="F4" s="17"/>
      <c r="G4" s="17"/>
      <c r="H4" s="16" t="str">
        <f aca="true">IF(E4="","",IF(G4&lt;&gt;"",G4-E4,TODAY()-E4))</f>
        <v/>
      </c>
      <c r="I4" s="16" t="str">
        <f aca="true">IF(AND(G4="",F4&lt;&gt;"",TODAY()&gt;F4),"OVERDUE","")</f>
        <v/>
      </c>
      <c r="J4" s="16"/>
      <c r="K4" s="16"/>
    </row>
    <row r="5" customFormat="false" ht="15" hidden="false" customHeight="false" outlineLevel="0" collapsed="false">
      <c r="A5" s="16"/>
      <c r="B5" s="16"/>
      <c r="C5" s="16"/>
      <c r="D5" s="16"/>
      <c r="E5" s="17"/>
      <c r="F5" s="17"/>
      <c r="G5" s="17"/>
      <c r="H5" s="16" t="str">
        <f aca="true">IF(E5="","",IF(G5&lt;&gt;"",G5-E5,TODAY()-E5))</f>
        <v/>
      </c>
      <c r="I5" s="16" t="str">
        <f aca="true">IF(AND(G5="",F5&lt;&gt;"",TODAY()&gt;F5),"OVERDUE","")</f>
        <v/>
      </c>
      <c r="J5" s="16"/>
      <c r="K5" s="16"/>
    </row>
    <row r="6" customFormat="false" ht="15" hidden="false" customHeight="false" outlineLevel="0" collapsed="false">
      <c r="A6" s="16"/>
      <c r="B6" s="16"/>
      <c r="C6" s="16"/>
      <c r="D6" s="16"/>
      <c r="E6" s="17"/>
      <c r="F6" s="17"/>
      <c r="G6" s="17"/>
      <c r="H6" s="16" t="str">
        <f aca="true">IF(E6="","",IF(G6&lt;&gt;"",G6-E6,TODAY()-E6))</f>
        <v/>
      </c>
      <c r="I6" s="16" t="str">
        <f aca="true">IF(AND(G6="",F6&lt;&gt;"",TODAY()&gt;F6),"OVERDUE","")</f>
        <v/>
      </c>
      <c r="J6" s="16"/>
      <c r="K6" s="16"/>
    </row>
    <row r="7" customFormat="false" ht="15" hidden="false" customHeight="false" outlineLevel="0" collapsed="false">
      <c r="A7" s="16"/>
      <c r="B7" s="16"/>
      <c r="C7" s="16"/>
      <c r="D7" s="16"/>
      <c r="E7" s="17"/>
      <c r="F7" s="17"/>
      <c r="G7" s="17"/>
      <c r="H7" s="16" t="str">
        <f aca="true">IF(E7="","",IF(G7&lt;&gt;"",G7-E7,TODAY()-E7))</f>
        <v/>
      </c>
      <c r="I7" s="16" t="str">
        <f aca="true">IF(AND(G7="",F7&lt;&gt;"",TODAY()&gt;F7),"OVERDUE","")</f>
        <v/>
      </c>
      <c r="J7" s="16"/>
      <c r="K7" s="16"/>
    </row>
    <row r="8" customFormat="false" ht="15" hidden="false" customHeight="false" outlineLevel="0" collapsed="false">
      <c r="A8" s="16"/>
      <c r="B8" s="16"/>
      <c r="C8" s="16"/>
      <c r="D8" s="16"/>
      <c r="E8" s="17"/>
      <c r="F8" s="17"/>
      <c r="G8" s="17"/>
      <c r="H8" s="16" t="str">
        <f aca="true">IF(E8="","",IF(G8&lt;&gt;"",G8-E8,TODAY()-E8))</f>
        <v/>
      </c>
      <c r="I8" s="16" t="str">
        <f aca="true">IF(AND(G8="",F8&lt;&gt;"",TODAY()&gt;F8),"OVERDUE","")</f>
        <v/>
      </c>
      <c r="J8" s="16"/>
      <c r="K8" s="16"/>
    </row>
    <row r="9" customFormat="false" ht="15" hidden="false" customHeight="false" outlineLevel="0" collapsed="false">
      <c r="A9" s="16"/>
      <c r="B9" s="16"/>
      <c r="C9" s="16"/>
      <c r="D9" s="16"/>
      <c r="E9" s="17"/>
      <c r="F9" s="17"/>
      <c r="G9" s="17"/>
      <c r="H9" s="16" t="str">
        <f aca="true">IF(E9="","",IF(G9&lt;&gt;"",G9-E9,TODAY()-E9))</f>
        <v/>
      </c>
      <c r="I9" s="16" t="str">
        <f aca="true">IF(AND(G9="",F9&lt;&gt;"",TODAY()&gt;F9),"OVERDUE","")</f>
        <v/>
      </c>
      <c r="J9" s="16"/>
      <c r="K9" s="16"/>
    </row>
    <row r="10" customFormat="false" ht="15" hidden="false" customHeight="false" outlineLevel="0" collapsed="false">
      <c r="A10" s="16"/>
      <c r="B10" s="16"/>
      <c r="C10" s="16"/>
      <c r="D10" s="16"/>
      <c r="E10" s="17"/>
      <c r="F10" s="17"/>
      <c r="G10" s="17"/>
      <c r="H10" s="16" t="str">
        <f aca="true">IF(E10="","",IF(G10&lt;&gt;"",G10-E10,TODAY()-E10))</f>
        <v/>
      </c>
      <c r="I10" s="16" t="str">
        <f aca="true">IF(AND(G10="",F10&lt;&gt;"",TODAY()&gt;F10),"OVERDUE","")</f>
        <v/>
      </c>
      <c r="J10" s="16"/>
      <c r="K10" s="16"/>
    </row>
    <row r="11" customFormat="false" ht="15" hidden="false" customHeight="false" outlineLevel="0" collapsed="false">
      <c r="A11" s="16"/>
      <c r="B11" s="16"/>
      <c r="C11" s="16"/>
      <c r="D11" s="16"/>
      <c r="E11" s="17"/>
      <c r="F11" s="17"/>
      <c r="G11" s="17"/>
      <c r="H11" s="16" t="str">
        <f aca="true">IF(E11="","",IF(G11&lt;&gt;"",G11-E11,TODAY()-E11))</f>
        <v/>
      </c>
      <c r="I11" s="16" t="str">
        <f aca="true">IF(AND(G11="",F11&lt;&gt;"",TODAY()&gt;F11),"OVERDUE","")</f>
        <v/>
      </c>
      <c r="J11" s="16"/>
      <c r="K11" s="16"/>
    </row>
    <row r="12" customFormat="false" ht="15" hidden="false" customHeight="false" outlineLevel="0" collapsed="false">
      <c r="A12" s="16"/>
      <c r="B12" s="16"/>
      <c r="C12" s="16"/>
      <c r="D12" s="16"/>
      <c r="E12" s="17"/>
      <c r="F12" s="17"/>
      <c r="G12" s="17"/>
      <c r="H12" s="16" t="str">
        <f aca="true">IF(E12="","",IF(G12&lt;&gt;"",G12-E12,TODAY()-E12))</f>
        <v/>
      </c>
      <c r="I12" s="16" t="str">
        <f aca="true">IF(AND(G12="",F12&lt;&gt;"",TODAY()&gt;F12),"OVERDUE","")</f>
        <v/>
      </c>
      <c r="J12" s="16"/>
      <c r="K12" s="16"/>
    </row>
    <row r="13" customFormat="false" ht="15" hidden="false" customHeight="false" outlineLevel="0" collapsed="false">
      <c r="A13" s="16"/>
      <c r="B13" s="16"/>
      <c r="C13" s="16"/>
      <c r="D13" s="16"/>
      <c r="E13" s="17"/>
      <c r="F13" s="17"/>
      <c r="G13" s="17"/>
      <c r="H13" s="16" t="str">
        <f aca="true">IF(E13="","",IF(G13&lt;&gt;"",G13-E13,TODAY()-E13))</f>
        <v/>
      </c>
      <c r="I13" s="16" t="str">
        <f aca="true">IF(AND(G13="",F13&lt;&gt;"",TODAY()&gt;F13),"OVERDUE","")</f>
        <v/>
      </c>
      <c r="J13" s="16"/>
      <c r="K13" s="16"/>
    </row>
    <row r="14" customFormat="false" ht="15" hidden="false" customHeight="false" outlineLevel="0" collapsed="false">
      <c r="A14" s="16"/>
      <c r="B14" s="16"/>
      <c r="C14" s="16"/>
      <c r="D14" s="16"/>
      <c r="E14" s="17"/>
      <c r="F14" s="17"/>
      <c r="G14" s="17"/>
      <c r="H14" s="16" t="str">
        <f aca="true">IF(E14="","",IF(G14&lt;&gt;"",G14-E14,TODAY()-E14))</f>
        <v/>
      </c>
      <c r="I14" s="16" t="str">
        <f aca="true">IF(AND(G14="",F14&lt;&gt;"",TODAY()&gt;F14),"OVERDUE","")</f>
        <v/>
      </c>
      <c r="J14" s="16"/>
      <c r="K14" s="16"/>
    </row>
    <row r="15" customFormat="false" ht="15" hidden="false" customHeight="false" outlineLevel="0" collapsed="false">
      <c r="A15" s="16"/>
      <c r="B15" s="16"/>
      <c r="C15" s="16"/>
      <c r="D15" s="16"/>
      <c r="E15" s="17"/>
      <c r="F15" s="17"/>
      <c r="G15" s="17"/>
      <c r="H15" s="16" t="str">
        <f aca="true">IF(E15="","",IF(G15&lt;&gt;"",G15-E15,TODAY()-E15))</f>
        <v/>
      </c>
      <c r="I15" s="16" t="str">
        <f aca="true">IF(AND(G15="",F15&lt;&gt;"",TODAY()&gt;F15),"OVERDUE","")</f>
        <v/>
      </c>
      <c r="J15" s="16"/>
      <c r="K15" s="16"/>
    </row>
    <row r="16" customFormat="false" ht="15" hidden="false" customHeight="false" outlineLevel="0" collapsed="false">
      <c r="A16" s="16"/>
      <c r="B16" s="16"/>
      <c r="C16" s="16"/>
      <c r="D16" s="16"/>
      <c r="E16" s="17"/>
      <c r="F16" s="17"/>
      <c r="G16" s="17"/>
      <c r="H16" s="16" t="str">
        <f aca="true">IF(E16="","",IF(G16&lt;&gt;"",G16-E16,TODAY()-E16))</f>
        <v/>
      </c>
      <c r="I16" s="16" t="str">
        <f aca="true">IF(AND(G16="",F16&lt;&gt;"",TODAY()&gt;F16),"OVERDUE","")</f>
        <v/>
      </c>
      <c r="J16" s="16"/>
      <c r="K16" s="16"/>
    </row>
    <row r="17" customFormat="false" ht="15" hidden="false" customHeight="false" outlineLevel="0" collapsed="false">
      <c r="A17" s="16"/>
      <c r="B17" s="16"/>
      <c r="C17" s="16"/>
      <c r="D17" s="16"/>
      <c r="E17" s="17"/>
      <c r="F17" s="17"/>
      <c r="G17" s="17"/>
      <c r="H17" s="16" t="str">
        <f aca="true">IF(E17="","",IF(G17&lt;&gt;"",G17-E17,TODAY()-E17))</f>
        <v/>
      </c>
      <c r="I17" s="16" t="str">
        <f aca="true">IF(AND(G17="",F17&lt;&gt;"",TODAY()&gt;F17),"OVERDUE","")</f>
        <v/>
      </c>
      <c r="J17" s="16"/>
      <c r="K17" s="16"/>
    </row>
    <row r="18" customFormat="false" ht="15" hidden="false" customHeight="false" outlineLevel="0" collapsed="false">
      <c r="A18" s="16"/>
      <c r="B18" s="16"/>
      <c r="C18" s="16"/>
      <c r="D18" s="16"/>
      <c r="E18" s="17"/>
      <c r="F18" s="17"/>
      <c r="G18" s="17"/>
      <c r="H18" s="16" t="str">
        <f aca="true">IF(E18="","",IF(G18&lt;&gt;"",G18-E18,TODAY()-E18))</f>
        <v/>
      </c>
      <c r="I18" s="16" t="str">
        <f aca="true">IF(AND(G18="",F18&lt;&gt;"",TODAY()&gt;F18),"OVERDUE","")</f>
        <v/>
      </c>
      <c r="J18" s="16"/>
      <c r="K18" s="16"/>
    </row>
    <row r="19" customFormat="false" ht="15" hidden="false" customHeight="false" outlineLevel="0" collapsed="false">
      <c r="A19" s="16"/>
      <c r="B19" s="16"/>
      <c r="C19" s="16"/>
      <c r="D19" s="16"/>
      <c r="E19" s="17"/>
      <c r="F19" s="17"/>
      <c r="G19" s="17"/>
      <c r="H19" s="16" t="str">
        <f aca="true">IF(E19="","",IF(G19&lt;&gt;"",G19-E19,TODAY()-E19))</f>
        <v/>
      </c>
      <c r="I19" s="16" t="str">
        <f aca="true">IF(AND(G19="",F19&lt;&gt;"",TODAY()&gt;F19),"OVERDUE","")</f>
        <v/>
      </c>
      <c r="J19" s="16"/>
      <c r="K19" s="16"/>
    </row>
    <row r="20" customFormat="false" ht="15" hidden="false" customHeight="false" outlineLevel="0" collapsed="false">
      <c r="A20" s="16"/>
      <c r="B20" s="16"/>
      <c r="C20" s="16"/>
      <c r="D20" s="16"/>
      <c r="E20" s="17"/>
      <c r="F20" s="17"/>
      <c r="G20" s="17"/>
      <c r="H20" s="16" t="str">
        <f aca="true">IF(E20="","",IF(G20&lt;&gt;"",G20-E20,TODAY()-E20))</f>
        <v/>
      </c>
      <c r="I20" s="16" t="str">
        <f aca="true">IF(AND(G20="",F20&lt;&gt;"",TODAY()&gt;F20),"OVERDUE","")</f>
        <v/>
      </c>
      <c r="J20" s="16"/>
      <c r="K20" s="16"/>
    </row>
    <row r="21" customFormat="false" ht="15" hidden="false" customHeight="false" outlineLevel="0" collapsed="false">
      <c r="A21" s="16"/>
      <c r="B21" s="16"/>
      <c r="C21" s="16"/>
      <c r="D21" s="16"/>
      <c r="E21" s="17"/>
      <c r="F21" s="17"/>
      <c r="G21" s="17"/>
      <c r="H21" s="16" t="str">
        <f aca="true">IF(E21="","",IF(G21&lt;&gt;"",G21-E21,TODAY()-E21))</f>
        <v/>
      </c>
      <c r="I21" s="16" t="str">
        <f aca="true">IF(AND(G21="",F21&lt;&gt;"",TODAY()&gt;F21),"OVERDUE","")</f>
        <v/>
      </c>
      <c r="J21" s="16"/>
      <c r="K21" s="16"/>
    </row>
    <row r="22" customFormat="false" ht="15" hidden="false" customHeight="false" outlineLevel="0" collapsed="false">
      <c r="A22" s="16"/>
      <c r="B22" s="16"/>
      <c r="C22" s="16"/>
      <c r="D22" s="16"/>
      <c r="E22" s="17"/>
      <c r="F22" s="17"/>
      <c r="G22" s="17"/>
      <c r="H22" s="16" t="str">
        <f aca="true">IF(E22="","",IF(G22&lt;&gt;"",G22-E22,TODAY()-E22))</f>
        <v/>
      </c>
      <c r="I22" s="16" t="str">
        <f aca="true">IF(AND(G22="",F22&lt;&gt;"",TODAY()&gt;F22),"OVERDUE","")</f>
        <v/>
      </c>
      <c r="J22" s="16"/>
      <c r="K22" s="16"/>
    </row>
    <row r="23" customFormat="false" ht="15" hidden="false" customHeight="false" outlineLevel="0" collapsed="false">
      <c r="A23" s="16"/>
      <c r="B23" s="16"/>
      <c r="C23" s="16"/>
      <c r="D23" s="16"/>
      <c r="E23" s="17"/>
      <c r="F23" s="17"/>
      <c r="G23" s="17"/>
      <c r="H23" s="16" t="str">
        <f aca="true">IF(E23="","",IF(G23&lt;&gt;"",G23-E23,TODAY()-E23))</f>
        <v/>
      </c>
      <c r="I23" s="16" t="str">
        <f aca="true">IF(AND(G23="",F23&lt;&gt;"",TODAY()&gt;F23),"OVERDUE","")</f>
        <v/>
      </c>
      <c r="J23" s="16"/>
      <c r="K23" s="16"/>
    </row>
    <row r="24" customFormat="false" ht="15" hidden="false" customHeight="false" outlineLevel="0" collapsed="false">
      <c r="A24" s="16"/>
      <c r="B24" s="16"/>
      <c r="C24" s="16"/>
      <c r="D24" s="16"/>
      <c r="E24" s="17"/>
      <c r="F24" s="17"/>
      <c r="G24" s="17"/>
      <c r="H24" s="16" t="str">
        <f aca="true">IF(E24="","",IF(G24&lt;&gt;"",G24-E24,TODAY()-E24))</f>
        <v/>
      </c>
      <c r="I24" s="16" t="str">
        <f aca="true">IF(AND(G24="",F24&lt;&gt;"",TODAY()&gt;F24),"OVERDUE","")</f>
        <v/>
      </c>
      <c r="J24" s="16"/>
      <c r="K24" s="16"/>
    </row>
    <row r="25" customFormat="false" ht="15" hidden="false" customHeight="false" outlineLevel="0" collapsed="false">
      <c r="A25" s="16"/>
      <c r="B25" s="16"/>
      <c r="C25" s="16"/>
      <c r="D25" s="16"/>
      <c r="E25" s="17"/>
      <c r="F25" s="17"/>
      <c r="G25" s="17"/>
      <c r="H25" s="16" t="str">
        <f aca="true">IF(E25="","",IF(G25&lt;&gt;"",G25-E25,TODAY()-E25))</f>
        <v/>
      </c>
      <c r="I25" s="16" t="str">
        <f aca="true">IF(AND(G25="",F25&lt;&gt;"",TODAY()&gt;F25),"OVERDUE","")</f>
        <v/>
      </c>
      <c r="J25" s="16"/>
      <c r="K25" s="16"/>
    </row>
    <row r="26" customFormat="false" ht="15" hidden="false" customHeight="false" outlineLevel="0" collapsed="false">
      <c r="A26" s="16"/>
      <c r="B26" s="16"/>
      <c r="C26" s="16"/>
      <c r="D26" s="16"/>
      <c r="E26" s="17"/>
      <c r="F26" s="17"/>
      <c r="G26" s="17"/>
      <c r="H26" s="16" t="str">
        <f aca="true">IF(E26="","",IF(G26&lt;&gt;"",G26-E26,TODAY()-E26))</f>
        <v/>
      </c>
      <c r="I26" s="16" t="str">
        <f aca="true">IF(AND(G26="",F26&lt;&gt;"",TODAY()&gt;F26),"OVERDUE","")</f>
        <v/>
      </c>
      <c r="J26" s="16"/>
      <c r="K26" s="16"/>
    </row>
    <row r="27" customFormat="false" ht="15" hidden="false" customHeight="false" outlineLevel="0" collapsed="false">
      <c r="A27" s="16"/>
      <c r="B27" s="16"/>
      <c r="C27" s="16"/>
      <c r="D27" s="16"/>
      <c r="E27" s="17"/>
      <c r="F27" s="17"/>
      <c r="G27" s="17"/>
      <c r="H27" s="16" t="str">
        <f aca="true">IF(E27="","",IF(G27&lt;&gt;"",G27-E27,TODAY()-E27))</f>
        <v/>
      </c>
      <c r="I27" s="16" t="str">
        <f aca="true">IF(AND(G27="",F27&lt;&gt;"",TODAY()&gt;F27),"OVERDUE","")</f>
        <v/>
      </c>
      <c r="J27" s="16"/>
      <c r="K27" s="16"/>
    </row>
    <row r="28" customFormat="false" ht="15" hidden="false" customHeight="false" outlineLevel="0" collapsed="false">
      <c r="A28" s="16"/>
      <c r="B28" s="16"/>
      <c r="C28" s="16"/>
      <c r="D28" s="16"/>
      <c r="E28" s="17"/>
      <c r="F28" s="17"/>
      <c r="G28" s="17"/>
      <c r="H28" s="16" t="str">
        <f aca="true">IF(E28="","",IF(G28&lt;&gt;"",G28-E28,TODAY()-E28))</f>
        <v/>
      </c>
      <c r="I28" s="16" t="str">
        <f aca="true">IF(AND(G28="",F28&lt;&gt;"",TODAY()&gt;F28),"OVERDUE","")</f>
        <v/>
      </c>
      <c r="J28" s="16"/>
      <c r="K28" s="16"/>
    </row>
    <row r="29" customFormat="false" ht="15" hidden="false" customHeight="false" outlineLevel="0" collapsed="false">
      <c r="A29" s="16"/>
      <c r="B29" s="16"/>
      <c r="C29" s="16"/>
      <c r="D29" s="16"/>
      <c r="E29" s="17"/>
      <c r="F29" s="17"/>
      <c r="G29" s="17"/>
      <c r="H29" s="16" t="str">
        <f aca="true">IF(E29="","",IF(G29&lt;&gt;"",G29-E29,TODAY()-E29))</f>
        <v/>
      </c>
      <c r="I29" s="16" t="str">
        <f aca="true">IF(AND(G29="",F29&lt;&gt;"",TODAY()&gt;F29),"OVERDUE","")</f>
        <v/>
      </c>
      <c r="J29" s="16"/>
      <c r="K29" s="16"/>
    </row>
    <row r="30" customFormat="false" ht="15" hidden="false" customHeight="false" outlineLevel="0" collapsed="false">
      <c r="A30" s="16"/>
      <c r="B30" s="16"/>
      <c r="C30" s="16"/>
      <c r="D30" s="16"/>
      <c r="E30" s="17"/>
      <c r="F30" s="17"/>
      <c r="G30" s="17"/>
      <c r="H30" s="16" t="str">
        <f aca="true">IF(E30="","",IF(G30&lt;&gt;"",G30-E30,TODAY()-E30))</f>
        <v/>
      </c>
      <c r="I30" s="16" t="str">
        <f aca="true">IF(AND(G30="",F30&lt;&gt;"",TODAY()&gt;F30),"OVERDUE","")</f>
        <v/>
      </c>
      <c r="J30" s="16"/>
      <c r="K30" s="16"/>
    </row>
    <row r="31" customFormat="false" ht="15" hidden="false" customHeight="false" outlineLevel="0" collapsed="false">
      <c r="A31" s="16"/>
      <c r="B31" s="16"/>
      <c r="C31" s="16"/>
      <c r="D31" s="16"/>
      <c r="E31" s="17"/>
      <c r="F31" s="17"/>
      <c r="G31" s="17"/>
      <c r="H31" s="16" t="str">
        <f aca="true">IF(E31="","",IF(G31&lt;&gt;"",G31-E31,TODAY()-E31))</f>
        <v/>
      </c>
      <c r="I31" s="16" t="str">
        <f aca="true">IF(AND(G31="",F31&lt;&gt;"",TODAY()&gt;F31),"OVERDUE","")</f>
        <v/>
      </c>
      <c r="J31" s="16"/>
      <c r="K31" s="16"/>
    </row>
    <row r="32" customFormat="false" ht="15" hidden="false" customHeight="false" outlineLevel="0" collapsed="false">
      <c r="A32" s="16"/>
      <c r="B32" s="16"/>
      <c r="C32" s="16"/>
      <c r="D32" s="16"/>
      <c r="E32" s="17"/>
      <c r="F32" s="17"/>
      <c r="G32" s="17"/>
      <c r="H32" s="16" t="str">
        <f aca="true">IF(E32="","",IF(G32&lt;&gt;"",G32-E32,TODAY()-E32))</f>
        <v/>
      </c>
      <c r="I32" s="16" t="str">
        <f aca="true">IF(AND(G32="",F32&lt;&gt;"",TODAY()&gt;F32),"OVERDUE","")</f>
        <v/>
      </c>
      <c r="J32" s="16"/>
      <c r="K32" s="16"/>
    </row>
    <row r="33" customFormat="false" ht="15" hidden="false" customHeight="false" outlineLevel="0" collapsed="false">
      <c r="A33" s="16"/>
      <c r="B33" s="16"/>
      <c r="C33" s="16"/>
      <c r="D33" s="16"/>
      <c r="E33" s="17"/>
      <c r="F33" s="17"/>
      <c r="G33" s="17"/>
      <c r="H33" s="16" t="str">
        <f aca="true">IF(E33="","",IF(G33&lt;&gt;"",G33-E33,TODAY()-E33))</f>
        <v/>
      </c>
      <c r="I33" s="16" t="str">
        <f aca="true">IF(AND(G33="",F33&lt;&gt;"",TODAY()&gt;F33),"OVERDUE","")</f>
        <v/>
      </c>
      <c r="J33" s="16"/>
      <c r="K33" s="16"/>
    </row>
    <row r="34" customFormat="false" ht="15" hidden="false" customHeight="false" outlineLevel="0" collapsed="false">
      <c r="A34" s="16"/>
      <c r="B34" s="16"/>
      <c r="C34" s="16"/>
      <c r="D34" s="16"/>
      <c r="E34" s="17"/>
      <c r="F34" s="17"/>
      <c r="G34" s="17"/>
      <c r="H34" s="16" t="str">
        <f aca="true">IF(E34="","",IF(G34&lt;&gt;"",G34-E34,TODAY()-E34))</f>
        <v/>
      </c>
      <c r="I34" s="16" t="str">
        <f aca="true">IF(AND(G34="",F34&lt;&gt;"",TODAY()&gt;F34),"OVERDUE","")</f>
        <v/>
      </c>
      <c r="J34" s="16"/>
      <c r="K34" s="16"/>
    </row>
    <row r="35" customFormat="false" ht="15" hidden="false" customHeight="false" outlineLevel="0" collapsed="false">
      <c r="A35" s="16"/>
      <c r="B35" s="16"/>
      <c r="C35" s="16"/>
      <c r="D35" s="16"/>
      <c r="E35" s="17"/>
      <c r="F35" s="17"/>
      <c r="G35" s="17"/>
      <c r="H35" s="16" t="str">
        <f aca="true">IF(E35="","",IF(G35&lt;&gt;"",G35-E35,TODAY()-E35))</f>
        <v/>
      </c>
      <c r="I35" s="16" t="str">
        <f aca="true">IF(AND(G35="",F35&lt;&gt;"",TODAY()&gt;F35),"OVERDUE","")</f>
        <v/>
      </c>
      <c r="J35" s="16"/>
      <c r="K35" s="16"/>
    </row>
    <row r="36" customFormat="false" ht="15" hidden="false" customHeight="false" outlineLevel="0" collapsed="false">
      <c r="A36" s="16"/>
      <c r="B36" s="16"/>
      <c r="C36" s="16"/>
      <c r="D36" s="16"/>
      <c r="E36" s="17"/>
      <c r="F36" s="17"/>
      <c r="G36" s="17"/>
      <c r="H36" s="16" t="str">
        <f aca="true">IF(E36="","",IF(G36&lt;&gt;"",G36-E36,TODAY()-E36))</f>
        <v/>
      </c>
      <c r="I36" s="16" t="str">
        <f aca="true">IF(AND(G36="",F36&lt;&gt;"",TODAY()&gt;F36),"OVERDUE","")</f>
        <v/>
      </c>
      <c r="J36" s="16"/>
      <c r="K36" s="16"/>
    </row>
    <row r="37" customFormat="false" ht="15" hidden="false" customHeight="false" outlineLevel="0" collapsed="false">
      <c r="A37" s="16"/>
      <c r="B37" s="16"/>
      <c r="C37" s="16"/>
      <c r="D37" s="16"/>
      <c r="E37" s="17"/>
      <c r="F37" s="17"/>
      <c r="G37" s="17"/>
      <c r="H37" s="16" t="str">
        <f aca="true">IF(E37="","",IF(G37&lt;&gt;"",G37-E37,TODAY()-E37))</f>
        <v/>
      </c>
      <c r="I37" s="16" t="str">
        <f aca="true">IF(AND(G37="",F37&lt;&gt;"",TODAY()&gt;F37),"OVERDUE","")</f>
        <v/>
      </c>
      <c r="J37" s="16"/>
      <c r="K37" s="16"/>
    </row>
    <row r="38" customFormat="false" ht="15" hidden="false" customHeight="false" outlineLevel="0" collapsed="false">
      <c r="A38" s="16"/>
      <c r="B38" s="16"/>
      <c r="C38" s="16"/>
      <c r="D38" s="16"/>
      <c r="E38" s="17"/>
      <c r="F38" s="17"/>
      <c r="G38" s="17"/>
      <c r="H38" s="16" t="str">
        <f aca="true">IF(E38="","",IF(G38&lt;&gt;"",G38-E38,TODAY()-E38))</f>
        <v/>
      </c>
      <c r="I38" s="16" t="str">
        <f aca="true">IF(AND(G38="",F38&lt;&gt;"",TODAY()&gt;F38),"OVERDUE","")</f>
        <v/>
      </c>
      <c r="J38" s="16"/>
      <c r="K38" s="16"/>
    </row>
    <row r="39" customFormat="false" ht="15" hidden="false" customHeight="false" outlineLevel="0" collapsed="false">
      <c r="A39" s="16"/>
      <c r="B39" s="16"/>
      <c r="C39" s="16"/>
      <c r="D39" s="16"/>
      <c r="E39" s="17"/>
      <c r="F39" s="17"/>
      <c r="G39" s="17"/>
      <c r="H39" s="16" t="str">
        <f aca="true">IF(E39="","",IF(G39&lt;&gt;"",G39-E39,TODAY()-E39))</f>
        <v/>
      </c>
      <c r="I39" s="16" t="str">
        <f aca="true">IF(AND(G39="",F39&lt;&gt;"",TODAY()&gt;F39),"OVERDUE","")</f>
        <v/>
      </c>
      <c r="J39" s="16"/>
      <c r="K39" s="16"/>
    </row>
    <row r="40" customFormat="false" ht="15" hidden="false" customHeight="false" outlineLevel="0" collapsed="false">
      <c r="A40" s="16"/>
      <c r="B40" s="16"/>
      <c r="C40" s="16"/>
      <c r="D40" s="16"/>
      <c r="E40" s="17"/>
      <c r="F40" s="17"/>
      <c r="G40" s="17"/>
      <c r="H40" s="16" t="str">
        <f aca="true">IF(E40="","",IF(G40&lt;&gt;"",G40-E40,TODAY()-E40))</f>
        <v/>
      </c>
      <c r="I40" s="16" t="str">
        <f aca="true">IF(AND(G40="",F40&lt;&gt;"",TODAY()&gt;F40),"OVERDUE","")</f>
        <v/>
      </c>
      <c r="J40" s="16"/>
      <c r="K40" s="16"/>
    </row>
    <row r="41" customFormat="false" ht="15" hidden="false" customHeight="false" outlineLevel="0" collapsed="false">
      <c r="A41" s="16"/>
      <c r="B41" s="16"/>
      <c r="C41" s="16"/>
      <c r="D41" s="16"/>
      <c r="E41" s="17"/>
      <c r="F41" s="17"/>
      <c r="G41" s="17"/>
      <c r="H41" s="16" t="str">
        <f aca="true">IF(E41="","",IF(G41&lt;&gt;"",G41-E41,TODAY()-E41))</f>
        <v/>
      </c>
      <c r="I41" s="16" t="str">
        <f aca="true">IF(AND(G41="",F41&lt;&gt;"",TODAY()&gt;F41),"OVERDUE","")</f>
        <v/>
      </c>
      <c r="J41" s="16"/>
      <c r="K41" s="16"/>
    </row>
    <row r="42" customFormat="false" ht="15" hidden="false" customHeight="false" outlineLevel="0" collapsed="false">
      <c r="A42" s="16"/>
      <c r="B42" s="16"/>
      <c r="C42" s="16"/>
      <c r="D42" s="16"/>
      <c r="E42" s="17"/>
      <c r="F42" s="17"/>
      <c r="G42" s="17"/>
      <c r="H42" s="16" t="str">
        <f aca="true">IF(E42="","",IF(G42&lt;&gt;"",G42-E42,TODAY()-E42))</f>
        <v/>
      </c>
      <c r="I42" s="16" t="str">
        <f aca="true">IF(AND(G42="",F42&lt;&gt;"",TODAY()&gt;F42),"OVERDUE","")</f>
        <v/>
      </c>
      <c r="J42" s="16"/>
      <c r="K42" s="16"/>
    </row>
    <row r="43" customFormat="false" ht="15" hidden="false" customHeight="false" outlineLevel="0" collapsed="false">
      <c r="A43" s="16"/>
      <c r="B43" s="16"/>
      <c r="C43" s="16"/>
      <c r="D43" s="16"/>
      <c r="E43" s="17"/>
      <c r="F43" s="17"/>
      <c r="G43" s="17"/>
      <c r="H43" s="16" t="str">
        <f aca="true">IF(E43="","",IF(G43&lt;&gt;"",G43-E43,TODAY()-E43))</f>
        <v/>
      </c>
      <c r="I43" s="16" t="str">
        <f aca="true">IF(AND(G43="",F43&lt;&gt;"",TODAY()&gt;F43),"OVERDUE","")</f>
        <v/>
      </c>
      <c r="J43" s="16"/>
      <c r="K43" s="16"/>
    </row>
    <row r="44" customFormat="false" ht="15" hidden="false" customHeight="false" outlineLevel="0" collapsed="false">
      <c r="A44" s="16"/>
      <c r="B44" s="16"/>
      <c r="C44" s="16"/>
      <c r="D44" s="16"/>
      <c r="E44" s="17"/>
      <c r="F44" s="17"/>
      <c r="G44" s="17"/>
      <c r="H44" s="16" t="str">
        <f aca="true">IF(E44="","",IF(G44&lt;&gt;"",G44-E44,TODAY()-E44))</f>
        <v/>
      </c>
      <c r="I44" s="16" t="str">
        <f aca="true">IF(AND(G44="",F44&lt;&gt;"",TODAY()&gt;F44),"OVERDUE","")</f>
        <v/>
      </c>
      <c r="J44" s="16"/>
      <c r="K44" s="16"/>
    </row>
    <row r="45" customFormat="false" ht="15" hidden="false" customHeight="false" outlineLevel="0" collapsed="false">
      <c r="A45" s="16"/>
      <c r="B45" s="16"/>
      <c r="C45" s="16"/>
      <c r="D45" s="16"/>
      <c r="E45" s="17"/>
      <c r="F45" s="17"/>
      <c r="G45" s="17"/>
      <c r="H45" s="16" t="str">
        <f aca="true">IF(E45="","",IF(G45&lt;&gt;"",G45-E45,TODAY()-E45))</f>
        <v/>
      </c>
      <c r="I45" s="16" t="str">
        <f aca="true">IF(AND(G45="",F45&lt;&gt;"",TODAY()&gt;F45),"OVERDUE","")</f>
        <v/>
      </c>
      <c r="J45" s="16"/>
      <c r="K45" s="16"/>
    </row>
    <row r="46" customFormat="false" ht="15" hidden="false" customHeight="false" outlineLevel="0" collapsed="false">
      <c r="A46" s="16"/>
      <c r="B46" s="16"/>
      <c r="C46" s="16"/>
      <c r="D46" s="16"/>
      <c r="E46" s="17"/>
      <c r="F46" s="17"/>
      <c r="G46" s="17"/>
      <c r="H46" s="16" t="str">
        <f aca="true">IF(E46="","",IF(G46&lt;&gt;"",G46-E46,TODAY()-E46))</f>
        <v/>
      </c>
      <c r="I46" s="16" t="str">
        <f aca="true">IF(AND(G46="",F46&lt;&gt;"",TODAY()&gt;F46),"OVERDUE","")</f>
        <v/>
      </c>
      <c r="J46" s="16"/>
      <c r="K46" s="16"/>
    </row>
    <row r="47" customFormat="false" ht="15" hidden="false" customHeight="false" outlineLevel="0" collapsed="false">
      <c r="A47" s="16"/>
      <c r="B47" s="16"/>
      <c r="C47" s="16"/>
      <c r="D47" s="16"/>
      <c r="E47" s="17"/>
      <c r="F47" s="17"/>
      <c r="G47" s="17"/>
      <c r="H47" s="16" t="str">
        <f aca="true">IF(E47="","",IF(G47&lt;&gt;"",G47-E47,TODAY()-E47))</f>
        <v/>
      </c>
      <c r="I47" s="16" t="str">
        <f aca="true">IF(AND(G47="",F47&lt;&gt;"",TODAY()&gt;F47),"OVERDUE","")</f>
        <v/>
      </c>
      <c r="J47" s="16"/>
      <c r="K47" s="16"/>
    </row>
    <row r="48" customFormat="false" ht="15" hidden="false" customHeight="false" outlineLevel="0" collapsed="false">
      <c r="A48" s="16"/>
      <c r="B48" s="16"/>
      <c r="C48" s="16"/>
      <c r="D48" s="16"/>
      <c r="E48" s="17"/>
      <c r="F48" s="17"/>
      <c r="G48" s="17"/>
      <c r="H48" s="16" t="str">
        <f aca="true">IF(E48="","",IF(G48&lt;&gt;"",G48-E48,TODAY()-E48))</f>
        <v/>
      </c>
      <c r="I48" s="16" t="str">
        <f aca="true">IF(AND(G48="",F48&lt;&gt;"",TODAY()&gt;F48),"OVERDUE","")</f>
        <v/>
      </c>
      <c r="J48" s="16"/>
      <c r="K48" s="16"/>
    </row>
    <row r="49" customFormat="false" ht="15" hidden="false" customHeight="false" outlineLevel="0" collapsed="false">
      <c r="A49" s="16"/>
      <c r="B49" s="16"/>
      <c r="C49" s="16"/>
      <c r="D49" s="16"/>
      <c r="E49" s="17"/>
      <c r="F49" s="17"/>
      <c r="G49" s="17"/>
      <c r="H49" s="16" t="str">
        <f aca="true">IF(E49="","",IF(G49&lt;&gt;"",G49-E49,TODAY()-E49))</f>
        <v/>
      </c>
      <c r="I49" s="16" t="str">
        <f aca="true">IF(AND(G49="",F49&lt;&gt;"",TODAY()&gt;F49),"OVERDUE","")</f>
        <v/>
      </c>
      <c r="J49" s="16"/>
      <c r="K49" s="16"/>
    </row>
    <row r="50" customFormat="false" ht="15" hidden="false" customHeight="false" outlineLevel="0" collapsed="false">
      <c r="A50" s="16"/>
      <c r="B50" s="16"/>
      <c r="C50" s="16"/>
      <c r="D50" s="16"/>
      <c r="E50" s="17"/>
      <c r="F50" s="17"/>
      <c r="G50" s="17"/>
      <c r="H50" s="16" t="str">
        <f aca="true">IF(E50="","",IF(G50&lt;&gt;"",G50-E50,TODAY()-E50))</f>
        <v/>
      </c>
      <c r="I50" s="16" t="str">
        <f aca="true">IF(AND(G50="",F50&lt;&gt;"",TODAY()&gt;F50),"OVERDUE","")</f>
        <v/>
      </c>
      <c r="J50" s="16"/>
      <c r="K50" s="16"/>
    </row>
    <row r="51" customFormat="false" ht="15" hidden="false" customHeight="false" outlineLevel="0" collapsed="false">
      <c r="A51" s="16"/>
      <c r="B51" s="16"/>
      <c r="C51" s="16"/>
      <c r="D51" s="16"/>
      <c r="E51" s="17"/>
      <c r="F51" s="17"/>
      <c r="G51" s="17"/>
      <c r="H51" s="16" t="str">
        <f aca="true">IF(E51="","",IF(G51&lt;&gt;"",G51-E51,TODAY()-E51))</f>
        <v/>
      </c>
      <c r="I51" s="16" t="str">
        <f aca="true">IF(AND(G51="",F51&lt;&gt;"",TODAY()&gt;F51),"OVERDUE","")</f>
        <v/>
      </c>
      <c r="J51" s="16"/>
      <c r="K51" s="16"/>
    </row>
    <row r="52" customFormat="false" ht="15" hidden="false" customHeight="false" outlineLevel="0" collapsed="false">
      <c r="A52" s="16"/>
      <c r="B52" s="16"/>
      <c r="C52" s="16"/>
      <c r="D52" s="16"/>
      <c r="E52" s="17"/>
      <c r="F52" s="17"/>
      <c r="G52" s="17"/>
      <c r="H52" s="16" t="str">
        <f aca="true">IF(E52="","",IF(G52&lt;&gt;"",G52-E52,TODAY()-E52))</f>
        <v/>
      </c>
      <c r="I52" s="16" t="str">
        <f aca="true">IF(AND(G52="",F52&lt;&gt;"",TODAY()&gt;F52),"OVERDUE","")</f>
        <v/>
      </c>
      <c r="J52" s="16"/>
      <c r="K52" s="16"/>
    </row>
    <row r="53" customFormat="false" ht="15" hidden="false" customHeight="false" outlineLevel="0" collapsed="false">
      <c r="A53" s="16"/>
      <c r="B53" s="16"/>
      <c r="C53" s="16"/>
      <c r="D53" s="16"/>
      <c r="E53" s="17"/>
      <c r="F53" s="17"/>
      <c r="G53" s="17"/>
      <c r="H53" s="16" t="str">
        <f aca="true">IF(E53="","",IF(G53&lt;&gt;"",G53-E53,TODAY()-E53))</f>
        <v/>
      </c>
      <c r="I53" s="16" t="str">
        <f aca="true">IF(AND(G53="",F53&lt;&gt;"",TODAY()&gt;F53),"OVERDUE","")</f>
        <v/>
      </c>
      <c r="J53" s="16"/>
      <c r="K53" s="16"/>
    </row>
    <row r="54" customFormat="false" ht="15" hidden="false" customHeight="false" outlineLevel="0" collapsed="false">
      <c r="A54" s="16"/>
      <c r="B54" s="16"/>
      <c r="C54" s="16"/>
      <c r="D54" s="16"/>
      <c r="E54" s="17"/>
      <c r="F54" s="17"/>
      <c r="G54" s="17"/>
      <c r="H54" s="16" t="str">
        <f aca="true">IF(E54="","",IF(G54&lt;&gt;"",G54-E54,TODAY()-E54))</f>
        <v/>
      </c>
      <c r="I54" s="16" t="str">
        <f aca="true">IF(AND(G54="",F54&lt;&gt;"",TODAY()&gt;F54),"OVERDUE","")</f>
        <v/>
      </c>
      <c r="J54" s="16"/>
      <c r="K54" s="16"/>
    </row>
    <row r="55" customFormat="false" ht="15" hidden="false" customHeight="false" outlineLevel="0" collapsed="false">
      <c r="A55" s="16"/>
      <c r="B55" s="16"/>
      <c r="C55" s="16"/>
      <c r="D55" s="16"/>
      <c r="E55" s="17"/>
      <c r="F55" s="17"/>
      <c r="G55" s="17"/>
      <c r="H55" s="16" t="str">
        <f aca="true">IF(E55="","",IF(G55&lt;&gt;"",G55-E55,TODAY()-E55))</f>
        <v/>
      </c>
      <c r="I55" s="16" t="str">
        <f aca="true">IF(AND(G55="",F55&lt;&gt;"",TODAY()&gt;F55),"OVERDUE","")</f>
        <v/>
      </c>
      <c r="J55" s="16"/>
      <c r="K55" s="16"/>
    </row>
    <row r="56" customFormat="false" ht="15" hidden="false" customHeight="false" outlineLevel="0" collapsed="false">
      <c r="A56" s="16"/>
      <c r="B56" s="16"/>
      <c r="C56" s="16"/>
      <c r="D56" s="16"/>
      <c r="E56" s="17"/>
      <c r="F56" s="17"/>
      <c r="G56" s="17"/>
      <c r="H56" s="16" t="str">
        <f aca="true">IF(E56="","",IF(G56&lt;&gt;"",G56-E56,TODAY()-E56))</f>
        <v/>
      </c>
      <c r="I56" s="16" t="str">
        <f aca="true">IF(AND(G56="",F56&lt;&gt;"",TODAY()&gt;F56),"OVERDUE","")</f>
        <v/>
      </c>
      <c r="J56" s="16"/>
      <c r="K56" s="16"/>
    </row>
    <row r="57" customFormat="false" ht="15" hidden="false" customHeight="false" outlineLevel="0" collapsed="false">
      <c r="A57" s="16"/>
      <c r="B57" s="16"/>
      <c r="C57" s="16"/>
      <c r="D57" s="16"/>
      <c r="E57" s="17"/>
      <c r="F57" s="17"/>
      <c r="G57" s="17"/>
      <c r="H57" s="16" t="str">
        <f aca="true">IF(E57="","",IF(G57&lt;&gt;"",G57-E57,TODAY()-E57))</f>
        <v/>
      </c>
      <c r="I57" s="16" t="str">
        <f aca="true">IF(AND(G57="",F57&lt;&gt;"",TODAY()&gt;F57),"OVERDUE","")</f>
        <v/>
      </c>
      <c r="J57" s="16"/>
      <c r="K57" s="16"/>
    </row>
    <row r="58" customFormat="false" ht="15" hidden="false" customHeight="false" outlineLevel="0" collapsed="false">
      <c r="A58" s="16"/>
      <c r="B58" s="16"/>
      <c r="C58" s="16"/>
      <c r="D58" s="16"/>
      <c r="E58" s="17"/>
      <c r="F58" s="17"/>
      <c r="G58" s="17"/>
      <c r="H58" s="16" t="str">
        <f aca="true">IF(E58="","",IF(G58&lt;&gt;"",G58-E58,TODAY()-E58))</f>
        <v/>
      </c>
      <c r="I58" s="16" t="str">
        <f aca="true">IF(AND(G58="",F58&lt;&gt;"",TODAY()&gt;F58),"OVERDUE","")</f>
        <v/>
      </c>
      <c r="J58" s="16"/>
      <c r="K58" s="16"/>
    </row>
    <row r="59" customFormat="false" ht="15" hidden="false" customHeight="false" outlineLevel="0" collapsed="false">
      <c r="A59" s="16"/>
      <c r="B59" s="16"/>
      <c r="C59" s="16"/>
      <c r="D59" s="16"/>
      <c r="E59" s="17"/>
      <c r="F59" s="17"/>
      <c r="G59" s="17"/>
      <c r="H59" s="16" t="str">
        <f aca="true">IF(E59="","",IF(G59&lt;&gt;"",G59-E59,TODAY()-E59))</f>
        <v/>
      </c>
      <c r="I59" s="16" t="str">
        <f aca="true">IF(AND(G59="",F59&lt;&gt;"",TODAY()&gt;F59),"OVERDUE","")</f>
        <v/>
      </c>
      <c r="J59" s="16"/>
      <c r="K59" s="16"/>
    </row>
    <row r="60" customFormat="false" ht="15" hidden="false" customHeight="false" outlineLevel="0" collapsed="false">
      <c r="A60" s="16"/>
      <c r="B60" s="16"/>
      <c r="C60" s="16"/>
      <c r="D60" s="16"/>
      <c r="E60" s="17"/>
      <c r="F60" s="17"/>
      <c r="G60" s="17"/>
      <c r="H60" s="16" t="str">
        <f aca="true">IF(E60="","",IF(G60&lt;&gt;"",G60-E60,TODAY()-E60))</f>
        <v/>
      </c>
      <c r="I60" s="16" t="str">
        <f aca="true">IF(AND(G60="",F60&lt;&gt;"",TODAY()&gt;F60),"OVERDUE","")</f>
        <v/>
      </c>
      <c r="J60" s="16"/>
      <c r="K60" s="16"/>
    </row>
    <row r="61" customFormat="false" ht="15" hidden="false" customHeight="false" outlineLevel="0" collapsed="false">
      <c r="A61" s="16"/>
      <c r="B61" s="16"/>
      <c r="C61" s="16"/>
      <c r="D61" s="16"/>
      <c r="E61" s="17"/>
      <c r="F61" s="17"/>
      <c r="G61" s="17"/>
      <c r="H61" s="16" t="str">
        <f aca="true">IF(E61="","",IF(G61&lt;&gt;"",G61-E61,TODAY()-E61))</f>
        <v/>
      </c>
      <c r="I61" s="16" t="str">
        <f aca="true">IF(AND(G61="",F61&lt;&gt;"",TODAY()&gt;F61),"OVERDUE","")</f>
        <v/>
      </c>
      <c r="J61" s="16"/>
      <c r="K61" s="16"/>
    </row>
    <row r="62" customFormat="false" ht="15" hidden="false" customHeight="false" outlineLevel="0" collapsed="false">
      <c r="A62" s="16"/>
      <c r="B62" s="16"/>
      <c r="C62" s="16"/>
      <c r="D62" s="16"/>
      <c r="E62" s="17"/>
      <c r="F62" s="17"/>
      <c r="G62" s="17"/>
      <c r="H62" s="16" t="str">
        <f aca="true">IF(E62="","",IF(G62&lt;&gt;"",G62-E62,TODAY()-E62))</f>
        <v/>
      </c>
      <c r="I62" s="16" t="str">
        <f aca="true">IF(AND(G62="",F62&lt;&gt;"",TODAY()&gt;F62),"OVERDUE","")</f>
        <v/>
      </c>
      <c r="J62" s="16"/>
      <c r="K62" s="16"/>
    </row>
    <row r="63" customFormat="false" ht="15" hidden="false" customHeight="false" outlineLevel="0" collapsed="false">
      <c r="A63" s="16"/>
      <c r="B63" s="16"/>
      <c r="C63" s="16"/>
      <c r="D63" s="16"/>
      <c r="E63" s="17"/>
      <c r="F63" s="17"/>
      <c r="G63" s="17"/>
      <c r="H63" s="16" t="str">
        <f aca="true">IF(E63="","",IF(G63&lt;&gt;"",G63-E63,TODAY()-E63))</f>
        <v/>
      </c>
      <c r="I63" s="16" t="str">
        <f aca="true">IF(AND(G63="",F63&lt;&gt;"",TODAY()&gt;F63),"OVERDUE","")</f>
        <v/>
      </c>
      <c r="J63" s="16"/>
      <c r="K63" s="16"/>
    </row>
    <row r="64" customFormat="false" ht="15" hidden="false" customHeight="false" outlineLevel="0" collapsed="false">
      <c r="A64" s="16"/>
      <c r="B64" s="16"/>
      <c r="C64" s="16"/>
      <c r="D64" s="16"/>
      <c r="E64" s="17"/>
      <c r="F64" s="17"/>
      <c r="G64" s="17"/>
      <c r="H64" s="16" t="str">
        <f aca="true">IF(E64="","",IF(G64&lt;&gt;"",G64-E64,TODAY()-E64))</f>
        <v/>
      </c>
      <c r="I64" s="16" t="str">
        <f aca="true">IF(AND(G64="",F64&lt;&gt;"",TODAY()&gt;F64),"OVERDUE","")</f>
        <v/>
      </c>
      <c r="J64" s="16"/>
      <c r="K64" s="16"/>
    </row>
    <row r="65" customFormat="false" ht="15" hidden="false" customHeight="false" outlineLevel="0" collapsed="false">
      <c r="A65" s="16"/>
      <c r="B65" s="16"/>
      <c r="C65" s="16"/>
      <c r="D65" s="16"/>
      <c r="E65" s="17"/>
      <c r="F65" s="17"/>
      <c r="G65" s="17"/>
      <c r="H65" s="16" t="str">
        <f aca="true">IF(E65="","",IF(G65&lt;&gt;"",G65-E65,TODAY()-E65))</f>
        <v/>
      </c>
      <c r="I65" s="16" t="str">
        <f aca="true">IF(AND(G65="",F65&lt;&gt;"",TODAY()&gt;F65),"OVERDUE","")</f>
        <v/>
      </c>
      <c r="J65" s="16"/>
      <c r="K65" s="16"/>
    </row>
    <row r="66" customFormat="false" ht="15" hidden="false" customHeight="false" outlineLevel="0" collapsed="false">
      <c r="A66" s="16"/>
      <c r="B66" s="16"/>
      <c r="C66" s="16"/>
      <c r="D66" s="16"/>
      <c r="E66" s="17"/>
      <c r="F66" s="17"/>
      <c r="G66" s="17"/>
      <c r="H66" s="16" t="str">
        <f aca="true">IF(E66="","",IF(G66&lt;&gt;"",G66-E66,TODAY()-E66))</f>
        <v/>
      </c>
      <c r="I66" s="16" t="str">
        <f aca="true">IF(AND(G66="",F66&lt;&gt;"",TODAY()&gt;F66),"OVERDUE","")</f>
        <v/>
      </c>
      <c r="J66" s="16"/>
      <c r="K66" s="16"/>
    </row>
    <row r="67" customFormat="false" ht="15" hidden="false" customHeight="false" outlineLevel="0" collapsed="false">
      <c r="A67" s="16"/>
      <c r="B67" s="16"/>
      <c r="C67" s="16"/>
      <c r="D67" s="16"/>
      <c r="E67" s="17"/>
      <c r="F67" s="17"/>
      <c r="G67" s="17"/>
      <c r="H67" s="16" t="str">
        <f aca="true">IF(E67="","",IF(G67&lt;&gt;"",G67-E67,TODAY()-E67))</f>
        <v/>
      </c>
      <c r="I67" s="16" t="str">
        <f aca="true">IF(AND(G67="",F67&lt;&gt;"",TODAY()&gt;F67),"OVERDUE","")</f>
        <v/>
      </c>
      <c r="J67" s="16"/>
      <c r="K67" s="16"/>
    </row>
    <row r="68" customFormat="false" ht="15" hidden="false" customHeight="false" outlineLevel="0" collapsed="false">
      <c r="A68" s="16"/>
      <c r="B68" s="16"/>
      <c r="C68" s="16"/>
      <c r="D68" s="16"/>
      <c r="E68" s="17"/>
      <c r="F68" s="17"/>
      <c r="G68" s="17"/>
      <c r="H68" s="16" t="str">
        <f aca="true">IF(E68="","",IF(G68&lt;&gt;"",G68-E68,TODAY()-E68))</f>
        <v/>
      </c>
      <c r="I68" s="16" t="str">
        <f aca="true">IF(AND(G68="",F68&lt;&gt;"",TODAY()&gt;F68),"OVERDUE","")</f>
        <v/>
      </c>
      <c r="J68" s="16"/>
      <c r="K68" s="16"/>
    </row>
    <row r="69" customFormat="false" ht="15" hidden="false" customHeight="false" outlineLevel="0" collapsed="false">
      <c r="A69" s="16"/>
      <c r="B69" s="16"/>
      <c r="C69" s="16"/>
      <c r="D69" s="16"/>
      <c r="E69" s="17"/>
      <c r="F69" s="17"/>
      <c r="G69" s="17"/>
      <c r="H69" s="16" t="str">
        <f aca="true">IF(E69="","",IF(G69&lt;&gt;"",G69-E69,TODAY()-E69))</f>
        <v/>
      </c>
      <c r="I69" s="16" t="str">
        <f aca="true">IF(AND(G69="",F69&lt;&gt;"",TODAY()&gt;F69),"OVERDUE","")</f>
        <v/>
      </c>
      <c r="J69" s="16"/>
      <c r="K69" s="16"/>
    </row>
    <row r="70" customFormat="false" ht="15" hidden="false" customHeight="false" outlineLevel="0" collapsed="false">
      <c r="A70" s="16"/>
      <c r="B70" s="16"/>
      <c r="C70" s="16"/>
      <c r="D70" s="16"/>
      <c r="E70" s="17"/>
      <c r="F70" s="17"/>
      <c r="G70" s="17"/>
      <c r="H70" s="16" t="str">
        <f aca="true">IF(E70="","",IF(G70&lt;&gt;"",G70-E70,TODAY()-E70))</f>
        <v/>
      </c>
      <c r="I70" s="16" t="str">
        <f aca="true">IF(AND(G70="",F70&lt;&gt;"",TODAY()&gt;F70),"OVERDUE","")</f>
        <v/>
      </c>
      <c r="J70" s="16"/>
      <c r="K70" s="16"/>
    </row>
    <row r="71" customFormat="false" ht="15" hidden="false" customHeight="false" outlineLevel="0" collapsed="false">
      <c r="A71" s="16"/>
      <c r="B71" s="16"/>
      <c r="C71" s="16"/>
      <c r="D71" s="16"/>
      <c r="E71" s="17"/>
      <c r="F71" s="17"/>
      <c r="G71" s="17"/>
      <c r="H71" s="16" t="str">
        <f aca="true">IF(E71="","",IF(G71&lt;&gt;"",G71-E71,TODAY()-E71))</f>
        <v/>
      </c>
      <c r="I71" s="16" t="str">
        <f aca="true">IF(AND(G71="",F71&lt;&gt;"",TODAY()&gt;F71),"OVERDUE","")</f>
        <v/>
      </c>
      <c r="J71" s="16"/>
      <c r="K71" s="16"/>
    </row>
    <row r="72" customFormat="false" ht="15" hidden="false" customHeight="false" outlineLevel="0" collapsed="false">
      <c r="A72" s="16"/>
      <c r="B72" s="16"/>
      <c r="C72" s="16"/>
      <c r="D72" s="16"/>
      <c r="E72" s="17"/>
      <c r="F72" s="17"/>
      <c r="G72" s="17"/>
      <c r="H72" s="16" t="str">
        <f aca="true">IF(E72="","",IF(G72&lt;&gt;"",G72-E72,TODAY()-E72))</f>
        <v/>
      </c>
      <c r="I72" s="16" t="str">
        <f aca="true">IF(AND(G72="",F72&lt;&gt;"",TODAY()&gt;F72),"OVERDUE","")</f>
        <v/>
      </c>
      <c r="J72" s="16"/>
      <c r="K72" s="16"/>
    </row>
    <row r="73" customFormat="false" ht="15" hidden="false" customHeight="false" outlineLevel="0" collapsed="false">
      <c r="A73" s="16"/>
      <c r="B73" s="16"/>
      <c r="C73" s="16"/>
      <c r="D73" s="16"/>
      <c r="E73" s="17"/>
      <c r="F73" s="17"/>
      <c r="G73" s="17"/>
      <c r="H73" s="16" t="str">
        <f aca="true">IF(E73="","",IF(G73&lt;&gt;"",G73-E73,TODAY()-E73))</f>
        <v/>
      </c>
      <c r="I73" s="16" t="str">
        <f aca="true">IF(AND(G73="",F73&lt;&gt;"",TODAY()&gt;F73),"OVERDUE","")</f>
        <v/>
      </c>
      <c r="J73" s="16"/>
      <c r="K73" s="16"/>
    </row>
    <row r="74" customFormat="false" ht="15" hidden="false" customHeight="false" outlineLevel="0" collapsed="false">
      <c r="A74" s="16"/>
      <c r="B74" s="16"/>
      <c r="C74" s="16"/>
      <c r="D74" s="16"/>
      <c r="E74" s="17"/>
      <c r="F74" s="17"/>
      <c r="G74" s="17"/>
      <c r="H74" s="16" t="str">
        <f aca="true">IF(E74="","",IF(G74&lt;&gt;"",G74-E74,TODAY()-E74))</f>
        <v/>
      </c>
      <c r="I74" s="16" t="str">
        <f aca="true">IF(AND(G74="",F74&lt;&gt;"",TODAY()&gt;F74),"OVERDUE","")</f>
        <v/>
      </c>
      <c r="J74" s="16"/>
      <c r="K74" s="16"/>
    </row>
    <row r="75" customFormat="false" ht="15" hidden="false" customHeight="false" outlineLevel="0" collapsed="false">
      <c r="A75" s="16"/>
      <c r="B75" s="16"/>
      <c r="C75" s="16"/>
      <c r="D75" s="16"/>
      <c r="E75" s="17"/>
      <c r="F75" s="17"/>
      <c r="G75" s="17"/>
      <c r="H75" s="16" t="str">
        <f aca="true">IF(E75="","",IF(G75&lt;&gt;"",G75-E75,TODAY()-E75))</f>
        <v/>
      </c>
      <c r="I75" s="16" t="str">
        <f aca="true">IF(AND(G75="",F75&lt;&gt;"",TODAY()&gt;F75),"OVERDUE","")</f>
        <v/>
      </c>
      <c r="J75" s="16"/>
      <c r="K75" s="16"/>
    </row>
    <row r="76" customFormat="false" ht="15" hidden="false" customHeight="false" outlineLevel="0" collapsed="false">
      <c r="A76" s="16"/>
      <c r="B76" s="16"/>
      <c r="C76" s="16"/>
      <c r="D76" s="16"/>
      <c r="E76" s="17"/>
      <c r="F76" s="17"/>
      <c r="G76" s="17"/>
      <c r="H76" s="16" t="str">
        <f aca="true">IF(E76="","",IF(G76&lt;&gt;"",G76-E76,TODAY()-E76))</f>
        <v/>
      </c>
      <c r="I76" s="16" t="str">
        <f aca="true">IF(AND(G76="",F76&lt;&gt;"",TODAY()&gt;F76),"OVERDUE","")</f>
        <v/>
      </c>
      <c r="J76" s="16"/>
      <c r="K76" s="16"/>
    </row>
    <row r="77" customFormat="false" ht="15" hidden="false" customHeight="false" outlineLevel="0" collapsed="false">
      <c r="A77" s="16"/>
      <c r="B77" s="16"/>
      <c r="C77" s="16"/>
      <c r="D77" s="16"/>
      <c r="E77" s="17"/>
      <c r="F77" s="17"/>
      <c r="G77" s="17"/>
      <c r="H77" s="16" t="str">
        <f aca="true">IF(E77="","",IF(G77&lt;&gt;"",G77-E77,TODAY()-E77))</f>
        <v/>
      </c>
      <c r="I77" s="16" t="str">
        <f aca="true">IF(AND(G77="",F77&lt;&gt;"",TODAY()&gt;F77),"OVERDUE","")</f>
        <v/>
      </c>
      <c r="J77" s="16"/>
      <c r="K77" s="16"/>
    </row>
    <row r="78" customFormat="false" ht="15" hidden="false" customHeight="false" outlineLevel="0" collapsed="false">
      <c r="A78" s="16"/>
      <c r="B78" s="16"/>
      <c r="C78" s="16"/>
      <c r="D78" s="16"/>
      <c r="E78" s="17"/>
      <c r="F78" s="17"/>
      <c r="G78" s="17"/>
      <c r="H78" s="16" t="str">
        <f aca="true">IF(E78="","",IF(G78&lt;&gt;"",G78-E78,TODAY()-E78))</f>
        <v/>
      </c>
      <c r="I78" s="16" t="str">
        <f aca="true">IF(AND(G78="",F78&lt;&gt;"",TODAY()&gt;F78),"OVERDUE","")</f>
        <v/>
      </c>
      <c r="J78" s="16"/>
      <c r="K78" s="16"/>
    </row>
    <row r="79" customFormat="false" ht="15" hidden="false" customHeight="false" outlineLevel="0" collapsed="false">
      <c r="A79" s="16"/>
      <c r="B79" s="16"/>
      <c r="C79" s="16"/>
      <c r="D79" s="16"/>
      <c r="E79" s="17"/>
      <c r="F79" s="17"/>
      <c r="G79" s="17"/>
      <c r="H79" s="16" t="str">
        <f aca="true">IF(E79="","",IF(G79&lt;&gt;"",G79-E79,TODAY()-E79))</f>
        <v/>
      </c>
      <c r="I79" s="16" t="str">
        <f aca="true">IF(AND(G79="",F79&lt;&gt;"",TODAY()&gt;F79),"OVERDUE","")</f>
        <v/>
      </c>
      <c r="J79" s="16"/>
      <c r="K79" s="16"/>
    </row>
    <row r="80" customFormat="false" ht="15" hidden="false" customHeight="false" outlineLevel="0" collapsed="false">
      <c r="A80" s="16"/>
      <c r="B80" s="16"/>
      <c r="C80" s="16"/>
      <c r="D80" s="16"/>
      <c r="E80" s="17"/>
      <c r="F80" s="17"/>
      <c r="G80" s="17"/>
      <c r="H80" s="16" t="str">
        <f aca="true">IF(E80="","",IF(G80&lt;&gt;"",G80-E80,TODAY()-E80))</f>
        <v/>
      </c>
      <c r="I80" s="16" t="str">
        <f aca="true">IF(AND(G80="",F80&lt;&gt;"",TODAY()&gt;F80),"OVERDUE","")</f>
        <v/>
      </c>
      <c r="J80" s="16"/>
      <c r="K80" s="16"/>
    </row>
    <row r="81" customFormat="false" ht="15" hidden="false" customHeight="false" outlineLevel="0" collapsed="false">
      <c r="A81" s="16"/>
      <c r="B81" s="16"/>
      <c r="C81" s="16"/>
      <c r="D81" s="16"/>
      <c r="E81" s="17"/>
      <c r="F81" s="17"/>
      <c r="G81" s="17"/>
      <c r="H81" s="16" t="str">
        <f aca="true">IF(E81="","",IF(G81&lt;&gt;"",G81-E81,TODAY()-E81))</f>
        <v/>
      </c>
      <c r="I81" s="16" t="str">
        <f aca="true">IF(AND(G81="",F81&lt;&gt;"",TODAY()&gt;F81),"OVERDUE","")</f>
        <v/>
      </c>
      <c r="J81" s="16"/>
      <c r="K81" s="16"/>
    </row>
    <row r="82" customFormat="false" ht="15" hidden="false" customHeight="false" outlineLevel="0" collapsed="false">
      <c r="A82" s="16"/>
      <c r="B82" s="16"/>
      <c r="C82" s="16"/>
      <c r="D82" s="16"/>
      <c r="E82" s="17"/>
      <c r="F82" s="17"/>
      <c r="G82" s="17"/>
      <c r="H82" s="16" t="str">
        <f aca="true">IF(E82="","",IF(G82&lt;&gt;"",G82-E82,TODAY()-E82))</f>
        <v/>
      </c>
      <c r="I82" s="16" t="str">
        <f aca="true">IF(AND(G82="",F82&lt;&gt;"",TODAY()&gt;F82),"OVERDUE","")</f>
        <v/>
      </c>
      <c r="J82" s="16"/>
      <c r="K82" s="16"/>
    </row>
    <row r="83" customFormat="false" ht="15" hidden="false" customHeight="false" outlineLevel="0" collapsed="false">
      <c r="A83" s="16"/>
      <c r="B83" s="16"/>
      <c r="C83" s="16"/>
      <c r="D83" s="16"/>
      <c r="E83" s="17"/>
      <c r="F83" s="17"/>
      <c r="G83" s="17"/>
      <c r="H83" s="16" t="str">
        <f aca="true">IF(E83="","",IF(G83&lt;&gt;"",G83-E83,TODAY()-E83))</f>
        <v/>
      </c>
      <c r="I83" s="16" t="str">
        <f aca="true">IF(AND(G83="",F83&lt;&gt;"",TODAY()&gt;F83),"OVERDUE","")</f>
        <v/>
      </c>
      <c r="J83" s="16"/>
      <c r="K83" s="16"/>
    </row>
    <row r="84" customFormat="false" ht="15" hidden="false" customHeight="false" outlineLevel="0" collapsed="false">
      <c r="A84" s="16"/>
      <c r="B84" s="16"/>
      <c r="C84" s="16"/>
      <c r="D84" s="16"/>
      <c r="E84" s="17"/>
      <c r="F84" s="17"/>
      <c r="G84" s="17"/>
      <c r="H84" s="16" t="str">
        <f aca="true">IF(E84="","",IF(G84&lt;&gt;"",G84-E84,TODAY()-E84))</f>
        <v/>
      </c>
      <c r="I84" s="16" t="str">
        <f aca="true">IF(AND(G84="",F84&lt;&gt;"",TODAY()&gt;F84),"OVERDUE","")</f>
        <v/>
      </c>
      <c r="J84" s="16"/>
      <c r="K84" s="16"/>
    </row>
    <row r="85" customFormat="false" ht="15" hidden="false" customHeight="false" outlineLevel="0" collapsed="false">
      <c r="A85" s="16"/>
      <c r="B85" s="16"/>
      <c r="C85" s="16"/>
      <c r="D85" s="16"/>
      <c r="E85" s="17"/>
      <c r="F85" s="17"/>
      <c r="G85" s="17"/>
      <c r="H85" s="16" t="str">
        <f aca="true">IF(E85="","",IF(G85&lt;&gt;"",G85-E85,TODAY()-E85))</f>
        <v/>
      </c>
      <c r="I85" s="16" t="str">
        <f aca="true">IF(AND(G85="",F85&lt;&gt;"",TODAY()&gt;F85),"OVERDUE","")</f>
        <v/>
      </c>
      <c r="J85" s="16"/>
      <c r="K85" s="16"/>
    </row>
    <row r="86" customFormat="false" ht="15" hidden="false" customHeight="false" outlineLevel="0" collapsed="false">
      <c r="A86" s="16"/>
      <c r="B86" s="16"/>
      <c r="C86" s="16"/>
      <c r="D86" s="16"/>
      <c r="E86" s="17"/>
      <c r="F86" s="17"/>
      <c r="G86" s="17"/>
      <c r="H86" s="16" t="str">
        <f aca="true">IF(E86="","",IF(G86&lt;&gt;"",G86-E86,TODAY()-E86))</f>
        <v/>
      </c>
      <c r="I86" s="16" t="str">
        <f aca="true">IF(AND(G86="",F86&lt;&gt;"",TODAY()&gt;F86),"OVERDUE","")</f>
        <v/>
      </c>
      <c r="J86" s="16"/>
      <c r="K86" s="16"/>
    </row>
    <row r="87" customFormat="false" ht="15" hidden="false" customHeight="false" outlineLevel="0" collapsed="false">
      <c r="A87" s="16"/>
      <c r="B87" s="16"/>
      <c r="C87" s="16"/>
      <c r="D87" s="16"/>
      <c r="E87" s="17"/>
      <c r="F87" s="17"/>
      <c r="G87" s="17"/>
      <c r="H87" s="16" t="str">
        <f aca="true">IF(E87="","",IF(G87&lt;&gt;"",G87-E87,TODAY()-E87))</f>
        <v/>
      </c>
      <c r="I87" s="16" t="str">
        <f aca="true">IF(AND(G87="",F87&lt;&gt;"",TODAY()&gt;F87),"OVERDUE","")</f>
        <v/>
      </c>
      <c r="J87" s="16"/>
      <c r="K87" s="16"/>
    </row>
    <row r="88" customFormat="false" ht="15" hidden="false" customHeight="false" outlineLevel="0" collapsed="false">
      <c r="A88" s="16"/>
      <c r="B88" s="16"/>
      <c r="C88" s="16"/>
      <c r="D88" s="16"/>
      <c r="E88" s="17"/>
      <c r="F88" s="17"/>
      <c r="G88" s="17"/>
      <c r="H88" s="16" t="str">
        <f aca="true">IF(E88="","",IF(G88&lt;&gt;"",G88-E88,TODAY()-E88))</f>
        <v/>
      </c>
      <c r="I88" s="16" t="str">
        <f aca="true">IF(AND(G88="",F88&lt;&gt;"",TODAY()&gt;F88),"OVERDUE","")</f>
        <v/>
      </c>
      <c r="J88" s="16"/>
      <c r="K88" s="16"/>
    </row>
    <row r="89" customFormat="false" ht="15" hidden="false" customHeight="false" outlineLevel="0" collapsed="false">
      <c r="A89" s="16"/>
      <c r="B89" s="16"/>
      <c r="C89" s="16"/>
      <c r="D89" s="16"/>
      <c r="E89" s="17"/>
      <c r="F89" s="17"/>
      <c r="G89" s="17"/>
      <c r="H89" s="16" t="str">
        <f aca="true">IF(E89="","",IF(G89&lt;&gt;"",G89-E89,TODAY()-E89))</f>
        <v/>
      </c>
      <c r="I89" s="16" t="str">
        <f aca="true">IF(AND(G89="",F89&lt;&gt;"",TODAY()&gt;F89),"OVERDUE","")</f>
        <v/>
      </c>
      <c r="J89" s="16"/>
      <c r="K89" s="16"/>
    </row>
    <row r="90" customFormat="false" ht="15" hidden="false" customHeight="false" outlineLevel="0" collapsed="false">
      <c r="A90" s="16"/>
      <c r="B90" s="16"/>
      <c r="C90" s="16"/>
      <c r="D90" s="16"/>
      <c r="E90" s="17"/>
      <c r="F90" s="17"/>
      <c r="G90" s="17"/>
      <c r="H90" s="16" t="str">
        <f aca="true">IF(E90="","",IF(G90&lt;&gt;"",G90-E90,TODAY()-E90))</f>
        <v/>
      </c>
      <c r="I90" s="16" t="str">
        <f aca="true">IF(AND(G90="",F90&lt;&gt;"",TODAY()&gt;F90),"OVERDUE","")</f>
        <v/>
      </c>
      <c r="J90" s="16"/>
      <c r="K90" s="16"/>
    </row>
    <row r="91" customFormat="false" ht="15" hidden="false" customHeight="false" outlineLevel="0" collapsed="false">
      <c r="A91" s="16"/>
      <c r="B91" s="16"/>
      <c r="C91" s="16"/>
      <c r="D91" s="16"/>
      <c r="E91" s="17"/>
      <c r="F91" s="17"/>
      <c r="G91" s="17"/>
      <c r="H91" s="16" t="str">
        <f aca="true">IF(E91="","",IF(G91&lt;&gt;"",G91-E91,TODAY()-E91))</f>
        <v/>
      </c>
      <c r="I91" s="16" t="str">
        <f aca="true">IF(AND(G91="",F91&lt;&gt;"",TODAY()&gt;F91),"OVERDUE","")</f>
        <v/>
      </c>
      <c r="J91" s="16"/>
      <c r="K91" s="16"/>
    </row>
    <row r="92" customFormat="false" ht="15" hidden="false" customHeight="false" outlineLevel="0" collapsed="false">
      <c r="A92" s="16"/>
      <c r="B92" s="16"/>
      <c r="C92" s="16"/>
      <c r="D92" s="16"/>
      <c r="E92" s="17"/>
      <c r="F92" s="17"/>
      <c r="G92" s="17"/>
      <c r="H92" s="16" t="str">
        <f aca="true">IF(E92="","",IF(G92&lt;&gt;"",G92-E92,TODAY()-E92))</f>
        <v/>
      </c>
      <c r="I92" s="16" t="str">
        <f aca="true">IF(AND(G92="",F92&lt;&gt;"",TODAY()&gt;F92),"OVERDUE","")</f>
        <v/>
      </c>
      <c r="J92" s="16"/>
      <c r="K92" s="16"/>
    </row>
    <row r="93" customFormat="false" ht="15" hidden="false" customHeight="false" outlineLevel="0" collapsed="false">
      <c r="A93" s="16"/>
      <c r="B93" s="16"/>
      <c r="C93" s="16"/>
      <c r="D93" s="16"/>
      <c r="E93" s="17"/>
      <c r="F93" s="17"/>
      <c r="G93" s="17"/>
      <c r="H93" s="16" t="str">
        <f aca="true">IF(E93="","",IF(G93&lt;&gt;"",G93-E93,TODAY()-E93))</f>
        <v/>
      </c>
      <c r="I93" s="16" t="str">
        <f aca="true">IF(AND(G93="",F93&lt;&gt;"",TODAY()&gt;F93),"OVERDUE","")</f>
        <v/>
      </c>
      <c r="J93" s="16"/>
      <c r="K93" s="16"/>
    </row>
    <row r="94" customFormat="false" ht="15" hidden="false" customHeight="false" outlineLevel="0" collapsed="false">
      <c r="A94" s="16"/>
      <c r="B94" s="16"/>
      <c r="C94" s="16"/>
      <c r="D94" s="16"/>
      <c r="E94" s="17"/>
      <c r="F94" s="17"/>
      <c r="G94" s="17"/>
      <c r="H94" s="16" t="str">
        <f aca="true">IF(E94="","",IF(G94&lt;&gt;"",G94-E94,TODAY()-E94))</f>
        <v/>
      </c>
      <c r="I94" s="16" t="str">
        <f aca="true">IF(AND(G94="",F94&lt;&gt;"",TODAY()&gt;F94),"OVERDUE","")</f>
        <v/>
      </c>
      <c r="J94" s="16"/>
      <c r="K94" s="16"/>
    </row>
    <row r="95" customFormat="false" ht="15" hidden="false" customHeight="false" outlineLevel="0" collapsed="false">
      <c r="A95" s="16"/>
      <c r="B95" s="16"/>
      <c r="C95" s="16"/>
      <c r="D95" s="16"/>
      <c r="E95" s="17"/>
      <c r="F95" s="17"/>
      <c r="G95" s="17"/>
      <c r="H95" s="16" t="str">
        <f aca="true">IF(E95="","",IF(G95&lt;&gt;"",G95-E95,TODAY()-E95))</f>
        <v/>
      </c>
      <c r="I95" s="16" t="str">
        <f aca="true">IF(AND(G95="",F95&lt;&gt;"",TODAY()&gt;F95),"OVERDUE","")</f>
        <v/>
      </c>
      <c r="J95" s="16"/>
      <c r="K95" s="16"/>
    </row>
    <row r="96" customFormat="false" ht="15" hidden="false" customHeight="false" outlineLevel="0" collapsed="false">
      <c r="A96" s="16"/>
      <c r="B96" s="16"/>
      <c r="C96" s="16"/>
      <c r="D96" s="16"/>
      <c r="E96" s="17"/>
      <c r="F96" s="17"/>
      <c r="G96" s="17"/>
      <c r="H96" s="16" t="str">
        <f aca="true">IF(E96="","",IF(G96&lt;&gt;"",G96-E96,TODAY()-E96))</f>
        <v/>
      </c>
      <c r="I96" s="16" t="str">
        <f aca="true">IF(AND(G96="",F96&lt;&gt;"",TODAY()&gt;F96),"OVERDUE","")</f>
        <v/>
      </c>
      <c r="J96" s="16"/>
      <c r="K96" s="16"/>
    </row>
    <row r="97" customFormat="false" ht="15" hidden="false" customHeight="false" outlineLevel="0" collapsed="false">
      <c r="A97" s="16"/>
      <c r="B97" s="16"/>
      <c r="C97" s="16"/>
      <c r="D97" s="16"/>
      <c r="E97" s="17"/>
      <c r="F97" s="17"/>
      <c r="G97" s="17"/>
      <c r="H97" s="16" t="str">
        <f aca="true">IF(E97="","",IF(G97&lt;&gt;"",G97-E97,TODAY()-E97))</f>
        <v/>
      </c>
      <c r="I97" s="16" t="str">
        <f aca="true">IF(AND(G97="",F97&lt;&gt;"",TODAY()&gt;F97),"OVERDUE","")</f>
        <v/>
      </c>
      <c r="J97" s="16"/>
      <c r="K97" s="16"/>
    </row>
    <row r="98" customFormat="false" ht="15" hidden="false" customHeight="false" outlineLevel="0" collapsed="false">
      <c r="A98" s="16"/>
      <c r="B98" s="16"/>
      <c r="C98" s="16"/>
      <c r="D98" s="16"/>
      <c r="E98" s="17"/>
      <c r="F98" s="17"/>
      <c r="G98" s="17"/>
      <c r="H98" s="16" t="str">
        <f aca="true">IF(E98="","",IF(G98&lt;&gt;"",G98-E98,TODAY()-E98))</f>
        <v/>
      </c>
      <c r="I98" s="16" t="str">
        <f aca="true">IF(AND(G98="",F98&lt;&gt;"",TODAY()&gt;F98),"OVERDUE","")</f>
        <v/>
      </c>
      <c r="J98" s="16"/>
      <c r="K98" s="16"/>
    </row>
    <row r="99" customFormat="false" ht="15" hidden="false" customHeight="false" outlineLevel="0" collapsed="false">
      <c r="A99" s="16"/>
      <c r="B99" s="16"/>
      <c r="C99" s="16"/>
      <c r="D99" s="16"/>
      <c r="E99" s="17"/>
      <c r="F99" s="17"/>
      <c r="G99" s="17"/>
      <c r="H99" s="16" t="str">
        <f aca="true">IF(E99="","",IF(G99&lt;&gt;"",G99-E99,TODAY()-E99))</f>
        <v/>
      </c>
      <c r="I99" s="16" t="str">
        <f aca="true">IF(AND(G99="",F99&lt;&gt;"",TODAY()&gt;F99),"OVERDUE","")</f>
        <v/>
      </c>
      <c r="J99" s="16"/>
      <c r="K99" s="16"/>
    </row>
    <row r="100" customFormat="false" ht="15" hidden="false" customHeight="false" outlineLevel="0" collapsed="false">
      <c r="A100" s="16"/>
      <c r="B100" s="16"/>
      <c r="C100" s="16"/>
      <c r="D100" s="16"/>
      <c r="E100" s="17"/>
      <c r="F100" s="17"/>
      <c r="G100" s="17"/>
      <c r="H100" s="16" t="str">
        <f aca="true">IF(E100="","",IF(G100&lt;&gt;"",G100-E100,TODAY()-E100))</f>
        <v/>
      </c>
      <c r="I100" s="16" t="str">
        <f aca="true">IF(AND(G100="",F100&lt;&gt;"",TODAY()&gt;F100),"OVERDUE","")</f>
        <v/>
      </c>
      <c r="J100" s="16"/>
      <c r="K100" s="16"/>
    </row>
    <row r="101" customFormat="false" ht="15" hidden="false" customHeight="false" outlineLevel="0" collapsed="false">
      <c r="A101" s="16"/>
      <c r="B101" s="16"/>
      <c r="C101" s="16"/>
      <c r="D101" s="16"/>
      <c r="E101" s="17"/>
      <c r="F101" s="17"/>
      <c r="G101" s="17"/>
      <c r="H101" s="16" t="str">
        <f aca="true">IF(E101="","",IF(G101&lt;&gt;"",G101-E101,TODAY()-E101))</f>
        <v/>
      </c>
      <c r="I101" s="16" t="str">
        <f aca="true">IF(AND(G101="",F101&lt;&gt;"",TODAY()&gt;F101),"OVERDUE","")</f>
        <v/>
      </c>
      <c r="J101" s="16"/>
      <c r="K101" s="16"/>
    </row>
    <row r="102" customFormat="false" ht="15" hidden="false" customHeight="false" outlineLevel="0" collapsed="false">
      <c r="A102" s="16"/>
      <c r="B102" s="16"/>
      <c r="C102" s="16"/>
      <c r="D102" s="16"/>
      <c r="E102" s="17"/>
      <c r="F102" s="17"/>
      <c r="G102" s="17"/>
      <c r="H102" s="16" t="str">
        <f aca="true">IF(E102="","",IF(G102&lt;&gt;"",G102-E102,TODAY()-E102))</f>
        <v/>
      </c>
      <c r="I102" s="16" t="str">
        <f aca="true">IF(AND(G102="",F102&lt;&gt;"",TODAY()&gt;F102),"OVERDUE","")</f>
        <v/>
      </c>
      <c r="J102" s="16"/>
      <c r="K102" s="16"/>
    </row>
    <row r="103" customFormat="false" ht="15" hidden="false" customHeight="false" outlineLevel="0" collapsed="false">
      <c r="A103" s="16"/>
      <c r="B103" s="16"/>
      <c r="C103" s="16"/>
      <c r="D103" s="16"/>
      <c r="E103" s="17"/>
      <c r="F103" s="17"/>
      <c r="G103" s="17"/>
      <c r="H103" s="16" t="str">
        <f aca="true">IF(E103="","",IF(G103&lt;&gt;"",G103-E103,TODAY()-E103))</f>
        <v/>
      </c>
      <c r="I103" s="16" t="str">
        <f aca="true">IF(AND(G103="",F103&lt;&gt;"",TODAY()&gt;F103),"OVERDUE","")</f>
        <v/>
      </c>
      <c r="J103" s="16"/>
      <c r="K103" s="16"/>
    </row>
    <row r="104" customFormat="false" ht="15" hidden="false" customHeight="false" outlineLevel="0" collapsed="false">
      <c r="A104" s="16"/>
      <c r="B104" s="16"/>
      <c r="C104" s="16"/>
      <c r="D104" s="16"/>
      <c r="E104" s="17"/>
      <c r="F104" s="17"/>
      <c r="G104" s="17"/>
      <c r="H104" s="16" t="str">
        <f aca="true">IF(E104="","",IF(G104&lt;&gt;"",G104-E104,TODAY()-E104))</f>
        <v/>
      </c>
      <c r="I104" s="16" t="str">
        <f aca="true">IF(AND(G104="",F104&lt;&gt;"",TODAY()&gt;F104),"OVERDUE","")</f>
        <v/>
      </c>
      <c r="J104" s="16"/>
      <c r="K104" s="16"/>
    </row>
    <row r="105" customFormat="false" ht="15" hidden="false" customHeight="false" outlineLevel="0" collapsed="false">
      <c r="A105" s="16"/>
      <c r="B105" s="16"/>
      <c r="C105" s="16"/>
      <c r="D105" s="16"/>
      <c r="E105" s="17"/>
      <c r="F105" s="17"/>
      <c r="G105" s="17"/>
      <c r="H105" s="16" t="str">
        <f aca="true">IF(E105="","",IF(G105&lt;&gt;"",G105-E105,TODAY()-E105))</f>
        <v/>
      </c>
      <c r="I105" s="16" t="str">
        <f aca="true">IF(AND(G105="",F105&lt;&gt;"",TODAY()&gt;F105),"OVERDUE","")</f>
        <v/>
      </c>
      <c r="J105" s="16"/>
      <c r="K105" s="16"/>
    </row>
    <row r="106" customFormat="false" ht="15" hidden="false" customHeight="false" outlineLevel="0" collapsed="false">
      <c r="A106" s="16"/>
      <c r="B106" s="16"/>
      <c r="C106" s="16"/>
      <c r="D106" s="16"/>
      <c r="E106" s="17"/>
      <c r="F106" s="17"/>
      <c r="G106" s="17"/>
      <c r="H106" s="16" t="str">
        <f aca="true">IF(E106="","",IF(G106&lt;&gt;"",G106-E106,TODAY()-E106))</f>
        <v/>
      </c>
      <c r="I106" s="16" t="str">
        <f aca="true">IF(AND(G106="",F106&lt;&gt;"",TODAY()&gt;F106),"OVERDUE","")</f>
        <v/>
      </c>
      <c r="J106" s="16"/>
      <c r="K106" s="16"/>
    </row>
    <row r="107" customFormat="false" ht="15" hidden="false" customHeight="false" outlineLevel="0" collapsed="false">
      <c r="A107" s="16"/>
      <c r="B107" s="16"/>
      <c r="C107" s="16"/>
      <c r="D107" s="16"/>
      <c r="E107" s="17"/>
      <c r="F107" s="17"/>
      <c r="G107" s="17"/>
      <c r="H107" s="16" t="str">
        <f aca="true">IF(E107="","",IF(G107&lt;&gt;"",G107-E107,TODAY()-E107))</f>
        <v/>
      </c>
      <c r="I107" s="16" t="str">
        <f aca="true">IF(AND(G107="",F107&lt;&gt;"",TODAY()&gt;F107),"OVERDUE","")</f>
        <v/>
      </c>
      <c r="J107" s="16"/>
      <c r="K107" s="16"/>
    </row>
    <row r="108" customFormat="false" ht="15" hidden="false" customHeight="false" outlineLevel="0" collapsed="false">
      <c r="A108" s="16"/>
      <c r="B108" s="16"/>
      <c r="C108" s="16"/>
      <c r="D108" s="16"/>
      <c r="E108" s="17"/>
      <c r="F108" s="17"/>
      <c r="G108" s="17"/>
      <c r="H108" s="16" t="str">
        <f aca="true">IF(E108="","",IF(G108&lt;&gt;"",G108-E108,TODAY()-E108))</f>
        <v/>
      </c>
      <c r="I108" s="16" t="str">
        <f aca="true">IF(AND(G108="",F108&lt;&gt;"",TODAY()&gt;F108),"OVERDUE","")</f>
        <v/>
      </c>
      <c r="J108" s="16"/>
      <c r="K108" s="16"/>
    </row>
    <row r="109" customFormat="false" ht="15" hidden="false" customHeight="false" outlineLevel="0" collapsed="false">
      <c r="A109" s="16"/>
      <c r="B109" s="16"/>
      <c r="C109" s="16"/>
      <c r="D109" s="16"/>
      <c r="E109" s="17"/>
      <c r="F109" s="17"/>
      <c r="G109" s="17"/>
      <c r="H109" s="16" t="str">
        <f aca="true">IF(E109="","",IF(G109&lt;&gt;"",G109-E109,TODAY()-E109))</f>
        <v/>
      </c>
      <c r="I109" s="16" t="str">
        <f aca="true">IF(AND(G109="",F109&lt;&gt;"",TODAY()&gt;F109),"OVERDUE","")</f>
        <v/>
      </c>
      <c r="J109" s="16"/>
      <c r="K109" s="16"/>
    </row>
    <row r="110" customFormat="false" ht="15" hidden="false" customHeight="false" outlineLevel="0" collapsed="false">
      <c r="A110" s="16"/>
      <c r="B110" s="16"/>
      <c r="C110" s="16"/>
      <c r="D110" s="16"/>
      <c r="E110" s="17"/>
      <c r="F110" s="17"/>
      <c r="G110" s="17"/>
      <c r="H110" s="16" t="str">
        <f aca="true">IF(E110="","",IF(G110&lt;&gt;"",G110-E110,TODAY()-E110))</f>
        <v/>
      </c>
      <c r="I110" s="16" t="str">
        <f aca="true">IF(AND(G110="",F110&lt;&gt;"",TODAY()&gt;F110),"OVERDUE","")</f>
        <v/>
      </c>
      <c r="J110" s="16"/>
      <c r="K110" s="16"/>
    </row>
    <row r="111" customFormat="false" ht="15" hidden="false" customHeight="false" outlineLevel="0" collapsed="false">
      <c r="A111" s="16"/>
      <c r="B111" s="16"/>
      <c r="C111" s="16"/>
      <c r="D111" s="16"/>
      <c r="E111" s="17"/>
      <c r="F111" s="17"/>
      <c r="G111" s="17"/>
      <c r="H111" s="16" t="str">
        <f aca="true">IF(E111="","",IF(G111&lt;&gt;"",G111-E111,TODAY()-E111))</f>
        <v/>
      </c>
      <c r="I111" s="16" t="str">
        <f aca="true">IF(AND(G111="",F111&lt;&gt;"",TODAY()&gt;F111),"OVERDUE","")</f>
        <v/>
      </c>
      <c r="J111" s="16"/>
      <c r="K111" s="16"/>
    </row>
    <row r="112" customFormat="false" ht="15" hidden="false" customHeight="false" outlineLevel="0" collapsed="false">
      <c r="A112" s="16"/>
      <c r="B112" s="16"/>
      <c r="C112" s="16"/>
      <c r="D112" s="16"/>
      <c r="E112" s="17"/>
      <c r="F112" s="17"/>
      <c r="G112" s="17"/>
      <c r="H112" s="16" t="str">
        <f aca="true">IF(E112="","",IF(G112&lt;&gt;"",G112-E112,TODAY()-E112))</f>
        <v/>
      </c>
      <c r="I112" s="16" t="str">
        <f aca="true">IF(AND(G112="",F112&lt;&gt;"",TODAY()&gt;F112),"OVERDUE","")</f>
        <v/>
      </c>
      <c r="J112" s="16"/>
      <c r="K112" s="16"/>
    </row>
    <row r="113" customFormat="false" ht="15" hidden="false" customHeight="false" outlineLevel="0" collapsed="false">
      <c r="A113" s="16"/>
      <c r="B113" s="16"/>
      <c r="C113" s="16"/>
      <c r="D113" s="16"/>
      <c r="E113" s="17"/>
      <c r="F113" s="17"/>
      <c r="G113" s="17"/>
      <c r="H113" s="16" t="str">
        <f aca="true">IF(E113="","",IF(G113&lt;&gt;"",G113-E113,TODAY()-E113))</f>
        <v/>
      </c>
      <c r="I113" s="16" t="str">
        <f aca="true">IF(AND(G113="",F113&lt;&gt;"",TODAY()&gt;F113),"OVERDUE","")</f>
        <v/>
      </c>
      <c r="J113" s="16"/>
      <c r="K113" s="16"/>
    </row>
    <row r="114" customFormat="false" ht="15" hidden="false" customHeight="false" outlineLevel="0" collapsed="false">
      <c r="A114" s="16"/>
      <c r="B114" s="16"/>
      <c r="C114" s="16"/>
      <c r="D114" s="16"/>
      <c r="E114" s="17"/>
      <c r="F114" s="17"/>
      <c r="G114" s="17"/>
      <c r="H114" s="16" t="str">
        <f aca="true">IF(E114="","",IF(G114&lt;&gt;"",G114-E114,TODAY()-E114))</f>
        <v/>
      </c>
      <c r="I114" s="16" t="str">
        <f aca="true">IF(AND(G114="",F114&lt;&gt;"",TODAY()&gt;F114),"OVERDUE","")</f>
        <v/>
      </c>
      <c r="J114" s="16"/>
      <c r="K114" s="16"/>
    </row>
    <row r="115" customFormat="false" ht="15" hidden="false" customHeight="false" outlineLevel="0" collapsed="false">
      <c r="A115" s="16"/>
      <c r="B115" s="16"/>
      <c r="C115" s="16"/>
      <c r="D115" s="16"/>
      <c r="E115" s="17"/>
      <c r="F115" s="17"/>
      <c r="G115" s="17"/>
      <c r="H115" s="16" t="str">
        <f aca="true">IF(E115="","",IF(G115&lt;&gt;"",G115-E115,TODAY()-E115))</f>
        <v/>
      </c>
      <c r="I115" s="16" t="str">
        <f aca="true">IF(AND(G115="",F115&lt;&gt;"",TODAY()&gt;F115),"OVERDUE","")</f>
        <v/>
      </c>
      <c r="J115" s="16"/>
      <c r="K115" s="16"/>
    </row>
    <row r="116" customFormat="false" ht="15" hidden="false" customHeight="false" outlineLevel="0" collapsed="false">
      <c r="A116" s="16"/>
      <c r="B116" s="16"/>
      <c r="C116" s="16"/>
      <c r="D116" s="16"/>
      <c r="E116" s="17"/>
      <c r="F116" s="17"/>
      <c r="G116" s="17"/>
      <c r="H116" s="16" t="str">
        <f aca="true">IF(E116="","",IF(G116&lt;&gt;"",G116-E116,TODAY()-E116))</f>
        <v/>
      </c>
      <c r="I116" s="16" t="str">
        <f aca="true">IF(AND(G116="",F116&lt;&gt;"",TODAY()&gt;F116),"OVERDUE","")</f>
        <v/>
      </c>
      <c r="J116" s="16"/>
      <c r="K116" s="16"/>
    </row>
    <row r="117" customFormat="false" ht="15" hidden="false" customHeight="false" outlineLevel="0" collapsed="false">
      <c r="A117" s="16"/>
      <c r="B117" s="16"/>
      <c r="C117" s="16"/>
      <c r="D117" s="16"/>
      <c r="E117" s="17"/>
      <c r="F117" s="17"/>
      <c r="G117" s="17"/>
      <c r="H117" s="16" t="str">
        <f aca="true">IF(E117="","",IF(G117&lt;&gt;"",G117-E117,TODAY()-E117))</f>
        <v/>
      </c>
      <c r="I117" s="16" t="str">
        <f aca="true">IF(AND(G117="",F117&lt;&gt;"",TODAY()&gt;F117),"OVERDUE","")</f>
        <v/>
      </c>
      <c r="J117" s="16"/>
      <c r="K117" s="16"/>
    </row>
    <row r="118" customFormat="false" ht="15" hidden="false" customHeight="false" outlineLevel="0" collapsed="false">
      <c r="A118" s="16"/>
      <c r="B118" s="16"/>
      <c r="C118" s="16"/>
      <c r="D118" s="16"/>
      <c r="E118" s="17"/>
      <c r="F118" s="17"/>
      <c r="G118" s="17"/>
      <c r="H118" s="16" t="str">
        <f aca="true">IF(E118="","",IF(G118&lt;&gt;"",G118-E118,TODAY()-E118))</f>
        <v/>
      </c>
      <c r="I118" s="16" t="str">
        <f aca="true">IF(AND(G118="",F118&lt;&gt;"",TODAY()&gt;F118),"OVERDUE","")</f>
        <v/>
      </c>
      <c r="J118" s="16"/>
      <c r="K118" s="16"/>
    </row>
    <row r="119" customFormat="false" ht="15" hidden="false" customHeight="false" outlineLevel="0" collapsed="false">
      <c r="A119" s="16"/>
      <c r="B119" s="16"/>
      <c r="C119" s="16"/>
      <c r="D119" s="16"/>
      <c r="E119" s="17"/>
      <c r="F119" s="17"/>
      <c r="G119" s="17"/>
      <c r="H119" s="16" t="str">
        <f aca="true">IF(E119="","",IF(G119&lt;&gt;"",G119-E119,TODAY()-E119))</f>
        <v/>
      </c>
      <c r="I119" s="16" t="str">
        <f aca="true">IF(AND(G119="",F119&lt;&gt;"",TODAY()&gt;F119),"OVERDUE","")</f>
        <v/>
      </c>
      <c r="J119" s="16"/>
      <c r="K119" s="16"/>
    </row>
    <row r="120" customFormat="false" ht="15" hidden="false" customHeight="false" outlineLevel="0" collapsed="false">
      <c r="A120" s="16"/>
      <c r="B120" s="16"/>
      <c r="C120" s="16"/>
      <c r="D120" s="16"/>
      <c r="E120" s="17"/>
      <c r="F120" s="17"/>
      <c r="G120" s="17"/>
      <c r="H120" s="16" t="str">
        <f aca="true">IF(E120="","",IF(G120&lt;&gt;"",G120-E120,TODAY()-E120))</f>
        <v/>
      </c>
      <c r="I120" s="16" t="str">
        <f aca="true">IF(AND(G120="",F120&lt;&gt;"",TODAY()&gt;F120),"OVERDUE","")</f>
        <v/>
      </c>
      <c r="J120" s="16"/>
      <c r="K120" s="16"/>
    </row>
    <row r="121" customFormat="false" ht="15" hidden="false" customHeight="false" outlineLevel="0" collapsed="false">
      <c r="A121" s="16"/>
      <c r="B121" s="16"/>
      <c r="C121" s="16"/>
      <c r="D121" s="16"/>
      <c r="E121" s="17"/>
      <c r="F121" s="17"/>
      <c r="G121" s="17"/>
      <c r="H121" s="16" t="str">
        <f aca="true">IF(E121="","",IF(G121&lt;&gt;"",G121-E121,TODAY()-E121))</f>
        <v/>
      </c>
      <c r="I121" s="16" t="str">
        <f aca="true">IF(AND(G121="",F121&lt;&gt;"",TODAY()&gt;F121),"OVERDUE","")</f>
        <v/>
      </c>
      <c r="J121" s="16"/>
      <c r="K121" s="16"/>
    </row>
    <row r="122" customFormat="false" ht="15" hidden="false" customHeight="false" outlineLevel="0" collapsed="false">
      <c r="A122" s="16"/>
      <c r="B122" s="16"/>
      <c r="C122" s="16"/>
      <c r="D122" s="16"/>
      <c r="E122" s="17"/>
      <c r="F122" s="17"/>
      <c r="G122" s="17"/>
      <c r="H122" s="16" t="str">
        <f aca="true">IF(E122="","",IF(G122&lt;&gt;"",G122-E122,TODAY()-E122))</f>
        <v/>
      </c>
      <c r="I122" s="16" t="str">
        <f aca="true">IF(AND(G122="",F122&lt;&gt;"",TODAY()&gt;F122),"OVERDUE","")</f>
        <v/>
      </c>
      <c r="J122" s="16"/>
      <c r="K122" s="16"/>
    </row>
    <row r="123" customFormat="false" ht="15" hidden="false" customHeight="false" outlineLevel="0" collapsed="false">
      <c r="A123" s="16"/>
      <c r="B123" s="16"/>
      <c r="C123" s="16"/>
      <c r="D123" s="16"/>
      <c r="E123" s="17"/>
      <c r="F123" s="17"/>
      <c r="G123" s="17"/>
      <c r="H123" s="16" t="str">
        <f aca="true">IF(E123="","",IF(G123&lt;&gt;"",G123-E123,TODAY()-E123))</f>
        <v/>
      </c>
      <c r="I123" s="16" t="str">
        <f aca="true">IF(AND(G123="",F123&lt;&gt;"",TODAY()&gt;F123),"OVERDUE","")</f>
        <v/>
      </c>
      <c r="J123" s="16"/>
      <c r="K123" s="16"/>
    </row>
    <row r="124" customFormat="false" ht="15" hidden="false" customHeight="false" outlineLevel="0" collapsed="false">
      <c r="A124" s="16"/>
      <c r="B124" s="16"/>
      <c r="C124" s="16"/>
      <c r="D124" s="16"/>
      <c r="E124" s="17"/>
      <c r="F124" s="17"/>
      <c r="G124" s="17"/>
      <c r="H124" s="16" t="str">
        <f aca="true">IF(E124="","",IF(G124&lt;&gt;"",G124-E124,TODAY()-E124))</f>
        <v/>
      </c>
      <c r="I124" s="16" t="str">
        <f aca="true">IF(AND(G124="",F124&lt;&gt;"",TODAY()&gt;F124),"OVERDUE","")</f>
        <v/>
      </c>
      <c r="J124" s="16"/>
      <c r="K124" s="16"/>
    </row>
    <row r="125" customFormat="false" ht="15" hidden="false" customHeight="false" outlineLevel="0" collapsed="false">
      <c r="A125" s="16"/>
      <c r="B125" s="16"/>
      <c r="C125" s="16"/>
      <c r="D125" s="16"/>
      <c r="E125" s="17"/>
      <c r="F125" s="17"/>
      <c r="G125" s="17"/>
      <c r="H125" s="16" t="str">
        <f aca="true">IF(E125="","",IF(G125&lt;&gt;"",G125-E125,TODAY()-E125))</f>
        <v/>
      </c>
      <c r="I125" s="16" t="str">
        <f aca="true">IF(AND(G125="",F125&lt;&gt;"",TODAY()&gt;F125),"OVERDUE","")</f>
        <v/>
      </c>
      <c r="J125" s="16"/>
      <c r="K125" s="16"/>
    </row>
    <row r="126" customFormat="false" ht="15" hidden="false" customHeight="false" outlineLevel="0" collapsed="false">
      <c r="A126" s="16"/>
      <c r="B126" s="16"/>
      <c r="C126" s="16"/>
      <c r="D126" s="16"/>
      <c r="E126" s="17"/>
      <c r="F126" s="17"/>
      <c r="G126" s="17"/>
      <c r="H126" s="16" t="str">
        <f aca="true">IF(E126="","",IF(G126&lt;&gt;"",G126-E126,TODAY()-E126))</f>
        <v/>
      </c>
      <c r="I126" s="16" t="str">
        <f aca="true">IF(AND(G126="",F126&lt;&gt;"",TODAY()&gt;F126),"OVERDUE","")</f>
        <v/>
      </c>
      <c r="J126" s="16"/>
      <c r="K126" s="16"/>
    </row>
    <row r="127" customFormat="false" ht="15" hidden="false" customHeight="false" outlineLevel="0" collapsed="false">
      <c r="A127" s="16"/>
      <c r="B127" s="16"/>
      <c r="C127" s="16"/>
      <c r="D127" s="16"/>
      <c r="E127" s="17"/>
      <c r="F127" s="17"/>
      <c r="G127" s="17"/>
      <c r="H127" s="16" t="str">
        <f aca="true">IF(E127="","",IF(G127&lt;&gt;"",G127-E127,TODAY()-E127))</f>
        <v/>
      </c>
      <c r="I127" s="16" t="str">
        <f aca="true">IF(AND(G127="",F127&lt;&gt;"",TODAY()&gt;F127),"OVERDUE","")</f>
        <v/>
      </c>
      <c r="J127" s="16"/>
      <c r="K127" s="16"/>
    </row>
    <row r="128" customFormat="false" ht="15" hidden="false" customHeight="false" outlineLevel="0" collapsed="false">
      <c r="A128" s="16"/>
      <c r="B128" s="16"/>
      <c r="C128" s="16"/>
      <c r="D128" s="16"/>
      <c r="E128" s="17"/>
      <c r="F128" s="17"/>
      <c r="G128" s="17"/>
      <c r="H128" s="16" t="str">
        <f aca="true">IF(E128="","",IF(G128&lt;&gt;"",G128-E128,TODAY()-E128))</f>
        <v/>
      </c>
      <c r="I128" s="16" t="str">
        <f aca="true">IF(AND(G128="",F128&lt;&gt;"",TODAY()&gt;F128),"OVERDUE","")</f>
        <v/>
      </c>
      <c r="J128" s="16"/>
      <c r="K128" s="16"/>
    </row>
    <row r="129" customFormat="false" ht="15" hidden="false" customHeight="false" outlineLevel="0" collapsed="false">
      <c r="A129" s="16"/>
      <c r="B129" s="16"/>
      <c r="C129" s="16"/>
      <c r="D129" s="16"/>
      <c r="E129" s="17"/>
      <c r="F129" s="17"/>
      <c r="G129" s="17"/>
      <c r="H129" s="16" t="str">
        <f aca="true">IF(E129="","",IF(G129&lt;&gt;"",G129-E129,TODAY()-E129))</f>
        <v/>
      </c>
      <c r="I129" s="16" t="str">
        <f aca="true">IF(AND(G129="",F129&lt;&gt;"",TODAY()&gt;F129),"OVERDUE","")</f>
        <v/>
      </c>
      <c r="J129" s="16"/>
      <c r="K129" s="16"/>
    </row>
    <row r="130" customFormat="false" ht="15" hidden="false" customHeight="false" outlineLevel="0" collapsed="false">
      <c r="A130" s="16"/>
      <c r="B130" s="16"/>
      <c r="C130" s="16"/>
      <c r="D130" s="16"/>
      <c r="E130" s="17"/>
      <c r="F130" s="17"/>
      <c r="G130" s="17"/>
      <c r="H130" s="16" t="str">
        <f aca="true">IF(E130="","",IF(G130&lt;&gt;"",G130-E130,TODAY()-E130))</f>
        <v/>
      </c>
      <c r="I130" s="16" t="str">
        <f aca="true">IF(AND(G130="",F130&lt;&gt;"",TODAY()&gt;F130),"OVERDUE","")</f>
        <v/>
      </c>
      <c r="J130" s="16"/>
      <c r="K130" s="16"/>
    </row>
    <row r="131" customFormat="false" ht="15" hidden="false" customHeight="false" outlineLevel="0" collapsed="false">
      <c r="A131" s="16"/>
      <c r="B131" s="16"/>
      <c r="C131" s="16"/>
      <c r="D131" s="16"/>
      <c r="E131" s="17"/>
      <c r="F131" s="17"/>
      <c r="G131" s="17"/>
      <c r="H131" s="16" t="str">
        <f aca="true">IF(E131="","",IF(G131&lt;&gt;"",G131-E131,TODAY()-E131))</f>
        <v/>
      </c>
      <c r="I131" s="16" t="str">
        <f aca="true">IF(AND(G131="",F131&lt;&gt;"",TODAY()&gt;F131),"OVERDUE","")</f>
        <v/>
      </c>
      <c r="J131" s="16"/>
      <c r="K131" s="16"/>
    </row>
    <row r="132" customFormat="false" ht="15" hidden="false" customHeight="false" outlineLevel="0" collapsed="false">
      <c r="A132" s="16"/>
      <c r="B132" s="16"/>
      <c r="C132" s="16"/>
      <c r="D132" s="16"/>
      <c r="E132" s="17"/>
      <c r="F132" s="17"/>
      <c r="G132" s="17"/>
      <c r="H132" s="16" t="str">
        <f aca="true">IF(E132="","",IF(G132&lt;&gt;"",G132-E132,TODAY()-E132))</f>
        <v/>
      </c>
      <c r="I132" s="16" t="str">
        <f aca="true">IF(AND(G132="",F132&lt;&gt;"",TODAY()&gt;F132),"OVERDUE","")</f>
        <v/>
      </c>
      <c r="J132" s="16"/>
      <c r="K132" s="16"/>
    </row>
    <row r="133" customFormat="false" ht="15" hidden="false" customHeight="false" outlineLevel="0" collapsed="false">
      <c r="A133" s="16"/>
      <c r="B133" s="16"/>
      <c r="C133" s="16"/>
      <c r="D133" s="16"/>
      <c r="E133" s="17"/>
      <c r="F133" s="17"/>
      <c r="G133" s="17"/>
      <c r="H133" s="16" t="str">
        <f aca="true">IF(E133="","",IF(G133&lt;&gt;"",G133-E133,TODAY()-E133))</f>
        <v/>
      </c>
      <c r="I133" s="16" t="str">
        <f aca="true">IF(AND(G133="",F133&lt;&gt;"",TODAY()&gt;F133),"OVERDUE","")</f>
        <v/>
      </c>
      <c r="J133" s="16"/>
      <c r="K133" s="16"/>
    </row>
    <row r="134" customFormat="false" ht="15" hidden="false" customHeight="false" outlineLevel="0" collapsed="false">
      <c r="A134" s="16"/>
      <c r="B134" s="16"/>
      <c r="C134" s="16"/>
      <c r="D134" s="16"/>
      <c r="E134" s="17"/>
      <c r="F134" s="17"/>
      <c r="G134" s="17"/>
      <c r="H134" s="16" t="str">
        <f aca="true">IF(E134="","",IF(G134&lt;&gt;"",G134-E134,TODAY()-E134))</f>
        <v/>
      </c>
      <c r="I134" s="16" t="str">
        <f aca="true">IF(AND(G134="",F134&lt;&gt;"",TODAY()&gt;F134),"OVERDUE","")</f>
        <v/>
      </c>
      <c r="J134" s="16"/>
      <c r="K134" s="16"/>
    </row>
    <row r="135" customFormat="false" ht="15" hidden="false" customHeight="false" outlineLevel="0" collapsed="false">
      <c r="A135" s="16"/>
      <c r="B135" s="16"/>
      <c r="C135" s="16"/>
      <c r="D135" s="16"/>
      <c r="E135" s="17"/>
      <c r="F135" s="17"/>
      <c r="G135" s="17"/>
      <c r="H135" s="16" t="str">
        <f aca="true">IF(E135="","",IF(G135&lt;&gt;"",G135-E135,TODAY()-E135))</f>
        <v/>
      </c>
      <c r="I135" s="16" t="str">
        <f aca="true">IF(AND(G135="",F135&lt;&gt;"",TODAY()&gt;F135),"OVERDUE","")</f>
        <v/>
      </c>
      <c r="J135" s="16"/>
      <c r="K135" s="16"/>
    </row>
    <row r="136" customFormat="false" ht="15" hidden="false" customHeight="false" outlineLevel="0" collapsed="false">
      <c r="A136" s="16"/>
      <c r="B136" s="16"/>
      <c r="C136" s="16"/>
      <c r="D136" s="16"/>
      <c r="E136" s="17"/>
      <c r="F136" s="17"/>
      <c r="G136" s="17"/>
      <c r="H136" s="16" t="str">
        <f aca="true">IF(E136="","",IF(G136&lt;&gt;"",G136-E136,TODAY()-E136))</f>
        <v/>
      </c>
      <c r="I136" s="16" t="str">
        <f aca="true">IF(AND(G136="",F136&lt;&gt;"",TODAY()&gt;F136),"OVERDUE","")</f>
        <v/>
      </c>
      <c r="J136" s="16"/>
      <c r="K136" s="16"/>
    </row>
    <row r="137" customFormat="false" ht="15" hidden="false" customHeight="false" outlineLevel="0" collapsed="false">
      <c r="A137" s="16"/>
      <c r="B137" s="16"/>
      <c r="C137" s="16"/>
      <c r="D137" s="16"/>
      <c r="E137" s="17"/>
      <c r="F137" s="17"/>
      <c r="G137" s="17"/>
      <c r="H137" s="16" t="str">
        <f aca="true">IF(E137="","",IF(G137&lt;&gt;"",G137-E137,TODAY()-E137))</f>
        <v/>
      </c>
      <c r="I137" s="16" t="str">
        <f aca="true">IF(AND(G137="",F137&lt;&gt;"",TODAY()&gt;F137),"OVERDUE","")</f>
        <v/>
      </c>
      <c r="J137" s="16"/>
      <c r="K137" s="16"/>
    </row>
    <row r="138" customFormat="false" ht="15" hidden="false" customHeight="false" outlineLevel="0" collapsed="false">
      <c r="A138" s="16"/>
      <c r="B138" s="16"/>
      <c r="C138" s="16"/>
      <c r="D138" s="16"/>
      <c r="E138" s="17"/>
      <c r="F138" s="17"/>
      <c r="G138" s="17"/>
      <c r="H138" s="16" t="str">
        <f aca="true">IF(E138="","",IF(G138&lt;&gt;"",G138-E138,TODAY()-E138))</f>
        <v/>
      </c>
      <c r="I138" s="16" t="str">
        <f aca="true">IF(AND(G138="",F138&lt;&gt;"",TODAY()&gt;F138),"OVERDUE","")</f>
        <v/>
      </c>
      <c r="J138" s="16"/>
      <c r="K138" s="16"/>
    </row>
    <row r="139" customFormat="false" ht="15" hidden="false" customHeight="false" outlineLevel="0" collapsed="false">
      <c r="A139" s="16"/>
      <c r="B139" s="16"/>
      <c r="C139" s="16"/>
      <c r="D139" s="16"/>
      <c r="E139" s="17"/>
      <c r="F139" s="17"/>
      <c r="G139" s="17"/>
      <c r="H139" s="16" t="str">
        <f aca="true">IF(E139="","",IF(G139&lt;&gt;"",G139-E139,TODAY()-E139))</f>
        <v/>
      </c>
      <c r="I139" s="16" t="str">
        <f aca="true">IF(AND(G139="",F139&lt;&gt;"",TODAY()&gt;F139),"OVERDUE","")</f>
        <v/>
      </c>
      <c r="J139" s="16"/>
      <c r="K139" s="16"/>
    </row>
    <row r="140" customFormat="false" ht="15" hidden="false" customHeight="false" outlineLevel="0" collapsed="false">
      <c r="A140" s="16"/>
      <c r="B140" s="16"/>
      <c r="C140" s="16"/>
      <c r="D140" s="16"/>
      <c r="E140" s="17"/>
      <c r="F140" s="17"/>
      <c r="G140" s="17"/>
      <c r="H140" s="16" t="str">
        <f aca="true">IF(E140="","",IF(G140&lt;&gt;"",G140-E140,TODAY()-E140))</f>
        <v/>
      </c>
      <c r="I140" s="16" t="str">
        <f aca="true">IF(AND(G140="",F140&lt;&gt;"",TODAY()&gt;F140),"OVERDUE","")</f>
        <v/>
      </c>
      <c r="J140" s="16"/>
      <c r="K140" s="16"/>
    </row>
    <row r="141" customFormat="false" ht="15" hidden="false" customHeight="false" outlineLevel="0" collapsed="false">
      <c r="A141" s="16"/>
      <c r="B141" s="16"/>
      <c r="C141" s="16"/>
      <c r="D141" s="16"/>
      <c r="E141" s="17"/>
      <c r="F141" s="17"/>
      <c r="G141" s="17"/>
      <c r="H141" s="16" t="str">
        <f aca="true">IF(E141="","",IF(G141&lt;&gt;"",G141-E141,TODAY()-E141))</f>
        <v/>
      </c>
      <c r="I141" s="16" t="str">
        <f aca="true">IF(AND(G141="",F141&lt;&gt;"",TODAY()&gt;F141),"OVERDUE","")</f>
        <v/>
      </c>
      <c r="J141" s="16"/>
      <c r="K141" s="16"/>
    </row>
    <row r="142" customFormat="false" ht="15" hidden="false" customHeight="false" outlineLevel="0" collapsed="false">
      <c r="A142" s="16"/>
      <c r="B142" s="16"/>
      <c r="C142" s="16"/>
      <c r="D142" s="16"/>
      <c r="E142" s="17"/>
      <c r="F142" s="17"/>
      <c r="G142" s="17"/>
      <c r="H142" s="16" t="str">
        <f aca="true">IF(E142="","",IF(G142&lt;&gt;"",G142-E142,TODAY()-E142))</f>
        <v/>
      </c>
      <c r="I142" s="16" t="str">
        <f aca="true">IF(AND(G142="",F142&lt;&gt;"",TODAY()&gt;F142),"OVERDUE","")</f>
        <v/>
      </c>
      <c r="J142" s="16"/>
      <c r="K142" s="16"/>
    </row>
    <row r="143" customFormat="false" ht="15" hidden="false" customHeight="false" outlineLevel="0" collapsed="false">
      <c r="A143" s="16"/>
      <c r="B143" s="16"/>
      <c r="C143" s="16"/>
      <c r="D143" s="16"/>
      <c r="E143" s="17"/>
      <c r="F143" s="17"/>
      <c r="G143" s="17"/>
      <c r="H143" s="16" t="str">
        <f aca="true">IF(E143="","",IF(G143&lt;&gt;"",G143-E143,TODAY()-E143))</f>
        <v/>
      </c>
      <c r="I143" s="16" t="str">
        <f aca="true">IF(AND(G143="",F143&lt;&gt;"",TODAY()&gt;F143),"OVERDUE","")</f>
        <v/>
      </c>
      <c r="J143" s="16"/>
      <c r="K143" s="16"/>
    </row>
    <row r="144" customFormat="false" ht="15" hidden="false" customHeight="false" outlineLevel="0" collapsed="false">
      <c r="A144" s="16"/>
      <c r="B144" s="16"/>
      <c r="C144" s="16"/>
      <c r="D144" s="16"/>
      <c r="E144" s="17"/>
      <c r="F144" s="17"/>
      <c r="G144" s="17"/>
      <c r="H144" s="16" t="str">
        <f aca="true">IF(E144="","",IF(G144&lt;&gt;"",G144-E144,TODAY()-E144))</f>
        <v/>
      </c>
      <c r="I144" s="16" t="str">
        <f aca="true">IF(AND(G144="",F144&lt;&gt;"",TODAY()&gt;F144),"OVERDUE","")</f>
        <v/>
      </c>
      <c r="J144" s="16"/>
      <c r="K144" s="16"/>
    </row>
    <row r="145" customFormat="false" ht="15" hidden="false" customHeight="false" outlineLevel="0" collapsed="false">
      <c r="A145" s="16"/>
      <c r="B145" s="16"/>
      <c r="C145" s="16"/>
      <c r="D145" s="16"/>
      <c r="E145" s="17"/>
      <c r="F145" s="17"/>
      <c r="G145" s="17"/>
      <c r="H145" s="16" t="str">
        <f aca="true">IF(E145="","",IF(G145&lt;&gt;"",G145-E145,TODAY()-E145))</f>
        <v/>
      </c>
      <c r="I145" s="16" t="str">
        <f aca="true">IF(AND(G145="",F145&lt;&gt;"",TODAY()&gt;F145),"OVERDUE","")</f>
        <v/>
      </c>
      <c r="J145" s="16"/>
      <c r="K145" s="16"/>
    </row>
    <row r="146" customFormat="false" ht="15" hidden="false" customHeight="false" outlineLevel="0" collapsed="false">
      <c r="A146" s="16"/>
      <c r="B146" s="16"/>
      <c r="C146" s="16"/>
      <c r="D146" s="16"/>
      <c r="E146" s="17"/>
      <c r="F146" s="17"/>
      <c r="G146" s="17"/>
      <c r="H146" s="16" t="str">
        <f aca="true">IF(E146="","",IF(G146&lt;&gt;"",G146-E146,TODAY()-E146))</f>
        <v/>
      </c>
      <c r="I146" s="16" t="str">
        <f aca="true">IF(AND(G146="",F146&lt;&gt;"",TODAY()&gt;F146),"OVERDUE","")</f>
        <v/>
      </c>
      <c r="J146" s="16"/>
      <c r="K146" s="16"/>
    </row>
    <row r="147" customFormat="false" ht="15" hidden="false" customHeight="false" outlineLevel="0" collapsed="false">
      <c r="A147" s="16"/>
      <c r="B147" s="16"/>
      <c r="C147" s="16"/>
      <c r="D147" s="16"/>
      <c r="E147" s="17"/>
      <c r="F147" s="17"/>
      <c r="G147" s="17"/>
      <c r="H147" s="16" t="str">
        <f aca="true">IF(E147="","",IF(G147&lt;&gt;"",G147-E147,TODAY()-E147))</f>
        <v/>
      </c>
      <c r="I147" s="16" t="str">
        <f aca="true">IF(AND(G147="",F147&lt;&gt;"",TODAY()&gt;F147),"OVERDUE","")</f>
        <v/>
      </c>
      <c r="J147" s="16"/>
      <c r="K147" s="16"/>
    </row>
    <row r="148" customFormat="false" ht="15" hidden="false" customHeight="false" outlineLevel="0" collapsed="false">
      <c r="A148" s="16"/>
      <c r="B148" s="16"/>
      <c r="C148" s="16"/>
      <c r="D148" s="16"/>
      <c r="E148" s="17"/>
      <c r="F148" s="17"/>
      <c r="G148" s="17"/>
      <c r="H148" s="16" t="str">
        <f aca="true">IF(E148="","",IF(G148&lt;&gt;"",G148-E148,TODAY()-E148))</f>
        <v/>
      </c>
      <c r="I148" s="16" t="str">
        <f aca="true">IF(AND(G148="",F148&lt;&gt;"",TODAY()&gt;F148),"OVERDUE","")</f>
        <v/>
      </c>
      <c r="J148" s="16"/>
      <c r="K148" s="16"/>
    </row>
    <row r="149" customFormat="false" ht="15" hidden="false" customHeight="false" outlineLevel="0" collapsed="false">
      <c r="A149" s="16"/>
      <c r="B149" s="16"/>
      <c r="C149" s="16"/>
      <c r="D149" s="16"/>
      <c r="E149" s="17"/>
      <c r="F149" s="17"/>
      <c r="G149" s="17"/>
      <c r="H149" s="16" t="str">
        <f aca="true">IF(E149="","",IF(G149&lt;&gt;"",G149-E149,TODAY()-E149))</f>
        <v/>
      </c>
      <c r="I149" s="16" t="str">
        <f aca="true">IF(AND(G149="",F149&lt;&gt;"",TODAY()&gt;F149),"OVERDUE","")</f>
        <v/>
      </c>
      <c r="J149" s="16"/>
      <c r="K149" s="16"/>
    </row>
    <row r="150" customFormat="false" ht="15" hidden="false" customHeight="false" outlineLevel="0" collapsed="false">
      <c r="A150" s="16"/>
      <c r="B150" s="16"/>
      <c r="C150" s="16"/>
      <c r="D150" s="16"/>
      <c r="E150" s="17"/>
      <c r="F150" s="17"/>
      <c r="G150" s="17"/>
      <c r="H150" s="16" t="str">
        <f aca="true">IF(E150="","",IF(G150&lt;&gt;"",G150-E150,TODAY()-E150))</f>
        <v/>
      </c>
      <c r="I150" s="16" t="str">
        <f aca="true">IF(AND(G150="",F150&lt;&gt;"",TODAY()&gt;F150),"OVERDUE","")</f>
        <v/>
      </c>
      <c r="J150" s="16"/>
      <c r="K150" s="16"/>
    </row>
    <row r="151" customFormat="false" ht="15" hidden="false" customHeight="false" outlineLevel="0" collapsed="false">
      <c r="A151" s="16"/>
      <c r="B151" s="16"/>
      <c r="C151" s="16"/>
      <c r="D151" s="16"/>
      <c r="E151" s="17"/>
      <c r="F151" s="17"/>
      <c r="G151" s="17"/>
      <c r="H151" s="16" t="str">
        <f aca="true">IF(E151="","",IF(G151&lt;&gt;"",G151-E151,TODAY()-E151))</f>
        <v/>
      </c>
      <c r="I151" s="16" t="str">
        <f aca="true">IF(AND(G151="",F151&lt;&gt;"",TODAY()&gt;F151),"OVERDUE","")</f>
        <v/>
      </c>
      <c r="J151" s="16"/>
      <c r="K151" s="16"/>
    </row>
    <row r="152" customFormat="false" ht="15" hidden="false" customHeight="false" outlineLevel="0" collapsed="false">
      <c r="A152" s="16"/>
      <c r="B152" s="16"/>
      <c r="C152" s="16"/>
      <c r="D152" s="16"/>
      <c r="E152" s="17"/>
      <c r="F152" s="17"/>
      <c r="G152" s="17"/>
      <c r="H152" s="16" t="str">
        <f aca="true">IF(E152="","",IF(G152&lt;&gt;"",G152-E152,TODAY()-E152))</f>
        <v/>
      </c>
      <c r="I152" s="16" t="str">
        <f aca="true">IF(AND(G152="",F152&lt;&gt;"",TODAY()&gt;F152),"OVERDUE","")</f>
        <v/>
      </c>
      <c r="J152" s="16"/>
      <c r="K152" s="16"/>
    </row>
    <row r="153" customFormat="false" ht="15" hidden="false" customHeight="false" outlineLevel="0" collapsed="false">
      <c r="A153" s="16"/>
      <c r="B153" s="16"/>
      <c r="C153" s="16"/>
      <c r="D153" s="16"/>
      <c r="E153" s="17"/>
      <c r="F153" s="17"/>
      <c r="G153" s="17"/>
      <c r="H153" s="16" t="str">
        <f aca="true">IF(E153="","",IF(G153&lt;&gt;"",G153-E153,TODAY()-E153))</f>
        <v/>
      </c>
      <c r="I153" s="16" t="str">
        <f aca="true">IF(AND(G153="",F153&lt;&gt;"",TODAY()&gt;F153),"OVERDUE","")</f>
        <v/>
      </c>
      <c r="J153" s="16"/>
      <c r="K153" s="16"/>
    </row>
    <row r="154" customFormat="false" ht="15" hidden="false" customHeight="false" outlineLevel="0" collapsed="false">
      <c r="A154" s="16"/>
      <c r="B154" s="16"/>
      <c r="C154" s="16"/>
      <c r="D154" s="16"/>
      <c r="E154" s="17"/>
      <c r="F154" s="17"/>
      <c r="G154" s="17"/>
      <c r="H154" s="16" t="str">
        <f aca="true">IF(E154="","",IF(G154&lt;&gt;"",G154-E154,TODAY()-E154))</f>
        <v/>
      </c>
      <c r="I154" s="16" t="str">
        <f aca="true">IF(AND(G154="",F154&lt;&gt;"",TODAY()&gt;F154),"OVERDUE","")</f>
        <v/>
      </c>
      <c r="J154" s="16"/>
      <c r="K154" s="16"/>
    </row>
    <row r="155" customFormat="false" ht="15" hidden="false" customHeight="false" outlineLevel="0" collapsed="false">
      <c r="A155" s="16"/>
      <c r="B155" s="16"/>
      <c r="C155" s="16"/>
      <c r="D155" s="16"/>
      <c r="E155" s="17"/>
      <c r="F155" s="17"/>
      <c r="G155" s="17"/>
      <c r="H155" s="16" t="str">
        <f aca="true">IF(E155="","",IF(G155&lt;&gt;"",G155-E155,TODAY()-E155))</f>
        <v/>
      </c>
      <c r="I155" s="16" t="str">
        <f aca="true">IF(AND(G155="",F155&lt;&gt;"",TODAY()&gt;F155),"OVERDUE","")</f>
        <v/>
      </c>
      <c r="J155" s="16"/>
      <c r="K155" s="16"/>
    </row>
    <row r="156" customFormat="false" ht="15" hidden="false" customHeight="false" outlineLevel="0" collapsed="false">
      <c r="A156" s="16"/>
      <c r="B156" s="16"/>
      <c r="C156" s="16"/>
      <c r="D156" s="16"/>
      <c r="E156" s="17"/>
      <c r="F156" s="17"/>
      <c r="G156" s="17"/>
      <c r="H156" s="16" t="str">
        <f aca="true">IF(E156="","",IF(G156&lt;&gt;"",G156-E156,TODAY()-E156))</f>
        <v/>
      </c>
      <c r="I156" s="16" t="str">
        <f aca="true">IF(AND(G156="",F156&lt;&gt;"",TODAY()&gt;F156),"OVERDUE","")</f>
        <v/>
      </c>
      <c r="J156" s="16"/>
      <c r="K156" s="16"/>
    </row>
    <row r="157" customFormat="false" ht="15" hidden="false" customHeight="false" outlineLevel="0" collapsed="false">
      <c r="A157" s="16"/>
      <c r="B157" s="16"/>
      <c r="C157" s="16"/>
      <c r="D157" s="16"/>
      <c r="E157" s="17"/>
      <c r="F157" s="17"/>
      <c r="G157" s="17"/>
      <c r="H157" s="16" t="str">
        <f aca="true">IF(E157="","",IF(G157&lt;&gt;"",G157-E157,TODAY()-E157))</f>
        <v/>
      </c>
      <c r="I157" s="16" t="str">
        <f aca="true">IF(AND(G157="",F157&lt;&gt;"",TODAY()&gt;F157),"OVERDUE","")</f>
        <v/>
      </c>
      <c r="J157" s="16"/>
      <c r="K157" s="16"/>
    </row>
    <row r="158" customFormat="false" ht="15" hidden="false" customHeight="false" outlineLevel="0" collapsed="false">
      <c r="A158" s="16"/>
      <c r="B158" s="16"/>
      <c r="C158" s="16"/>
      <c r="D158" s="16"/>
      <c r="E158" s="17"/>
      <c r="F158" s="17"/>
      <c r="G158" s="17"/>
      <c r="H158" s="16" t="str">
        <f aca="true">IF(E158="","",IF(G158&lt;&gt;"",G158-E158,TODAY()-E158))</f>
        <v/>
      </c>
      <c r="I158" s="16" t="str">
        <f aca="true">IF(AND(G158="",F158&lt;&gt;"",TODAY()&gt;F158),"OVERDUE","")</f>
        <v/>
      </c>
      <c r="J158" s="16"/>
      <c r="K158" s="16"/>
    </row>
    <row r="159" customFormat="false" ht="15" hidden="false" customHeight="false" outlineLevel="0" collapsed="false">
      <c r="A159" s="16"/>
      <c r="B159" s="16"/>
      <c r="C159" s="16"/>
      <c r="D159" s="16"/>
      <c r="E159" s="17"/>
      <c r="F159" s="17"/>
      <c r="G159" s="17"/>
      <c r="H159" s="16" t="str">
        <f aca="true">IF(E159="","",IF(G159&lt;&gt;"",G159-E159,TODAY()-E159))</f>
        <v/>
      </c>
      <c r="I159" s="16" t="str">
        <f aca="true">IF(AND(G159="",F159&lt;&gt;"",TODAY()&gt;F159),"OVERDUE","")</f>
        <v/>
      </c>
      <c r="J159" s="16"/>
      <c r="K159" s="16"/>
    </row>
    <row r="160" customFormat="false" ht="15" hidden="false" customHeight="false" outlineLevel="0" collapsed="false">
      <c r="A160" s="16"/>
      <c r="B160" s="16"/>
      <c r="C160" s="16"/>
      <c r="D160" s="16"/>
      <c r="E160" s="17"/>
      <c r="F160" s="17"/>
      <c r="G160" s="17"/>
      <c r="H160" s="16" t="str">
        <f aca="true">IF(E160="","",IF(G160&lt;&gt;"",G160-E160,TODAY()-E160))</f>
        <v/>
      </c>
      <c r="I160" s="16" t="str">
        <f aca="true">IF(AND(G160="",F160&lt;&gt;"",TODAY()&gt;F160),"OVERDUE","")</f>
        <v/>
      </c>
      <c r="J160" s="16"/>
      <c r="K160" s="16"/>
    </row>
    <row r="161" customFormat="false" ht="15" hidden="false" customHeight="false" outlineLevel="0" collapsed="false">
      <c r="A161" s="16"/>
      <c r="B161" s="16"/>
      <c r="C161" s="16"/>
      <c r="D161" s="16"/>
      <c r="E161" s="17"/>
      <c r="F161" s="17"/>
      <c r="G161" s="17"/>
      <c r="H161" s="16" t="str">
        <f aca="true">IF(E161="","",IF(G161&lt;&gt;"",G161-E161,TODAY()-E161))</f>
        <v/>
      </c>
      <c r="I161" s="16" t="str">
        <f aca="true">IF(AND(G161="",F161&lt;&gt;"",TODAY()&gt;F161),"OVERDUE","")</f>
        <v/>
      </c>
      <c r="J161" s="16"/>
      <c r="K161" s="16"/>
    </row>
    <row r="162" customFormat="false" ht="15" hidden="false" customHeight="false" outlineLevel="0" collapsed="false">
      <c r="A162" s="16"/>
      <c r="B162" s="16"/>
      <c r="C162" s="16"/>
      <c r="D162" s="16"/>
      <c r="E162" s="17"/>
      <c r="F162" s="17"/>
      <c r="G162" s="17"/>
      <c r="H162" s="16" t="str">
        <f aca="true">IF(E162="","",IF(G162&lt;&gt;"",G162-E162,TODAY()-E162))</f>
        <v/>
      </c>
      <c r="I162" s="16" t="str">
        <f aca="true">IF(AND(G162="",F162&lt;&gt;"",TODAY()&gt;F162),"OVERDUE","")</f>
        <v/>
      </c>
      <c r="J162" s="16"/>
      <c r="K162" s="16"/>
    </row>
    <row r="163" customFormat="false" ht="15" hidden="false" customHeight="false" outlineLevel="0" collapsed="false">
      <c r="A163" s="16"/>
      <c r="B163" s="16"/>
      <c r="C163" s="16"/>
      <c r="D163" s="16"/>
      <c r="E163" s="17"/>
      <c r="F163" s="17"/>
      <c r="G163" s="17"/>
      <c r="H163" s="16" t="str">
        <f aca="true">IF(E163="","",IF(G163&lt;&gt;"",G163-E163,TODAY()-E163))</f>
        <v/>
      </c>
      <c r="I163" s="16" t="str">
        <f aca="true">IF(AND(G163="",F163&lt;&gt;"",TODAY()&gt;F163),"OVERDUE","")</f>
        <v/>
      </c>
      <c r="J163" s="16"/>
      <c r="K163" s="16"/>
    </row>
    <row r="164" customFormat="false" ht="15" hidden="false" customHeight="false" outlineLevel="0" collapsed="false">
      <c r="A164" s="16"/>
      <c r="B164" s="16"/>
      <c r="C164" s="16"/>
      <c r="D164" s="16"/>
      <c r="E164" s="17"/>
      <c r="F164" s="17"/>
      <c r="G164" s="17"/>
      <c r="H164" s="16" t="str">
        <f aca="true">IF(E164="","",IF(G164&lt;&gt;"",G164-E164,TODAY()-E164))</f>
        <v/>
      </c>
      <c r="I164" s="16" t="str">
        <f aca="true">IF(AND(G164="",F164&lt;&gt;"",TODAY()&gt;F164),"OVERDUE","")</f>
        <v/>
      </c>
      <c r="J164" s="16"/>
      <c r="K164" s="16"/>
    </row>
    <row r="165" customFormat="false" ht="15" hidden="false" customHeight="false" outlineLevel="0" collapsed="false">
      <c r="A165" s="16"/>
      <c r="B165" s="16"/>
      <c r="C165" s="16"/>
      <c r="D165" s="16"/>
      <c r="E165" s="17"/>
      <c r="F165" s="17"/>
      <c r="G165" s="17"/>
      <c r="H165" s="16" t="str">
        <f aca="true">IF(E165="","",IF(G165&lt;&gt;"",G165-E165,TODAY()-E165))</f>
        <v/>
      </c>
      <c r="I165" s="16" t="str">
        <f aca="true">IF(AND(G165="",F165&lt;&gt;"",TODAY()&gt;F165),"OVERDUE","")</f>
        <v/>
      </c>
      <c r="J165" s="16"/>
      <c r="K165" s="16"/>
    </row>
    <row r="166" customFormat="false" ht="15" hidden="false" customHeight="false" outlineLevel="0" collapsed="false">
      <c r="A166" s="16"/>
      <c r="B166" s="16"/>
      <c r="C166" s="16"/>
      <c r="D166" s="16"/>
      <c r="E166" s="17"/>
      <c r="F166" s="17"/>
      <c r="G166" s="17"/>
      <c r="H166" s="16" t="str">
        <f aca="true">IF(E166="","",IF(G166&lt;&gt;"",G166-E166,TODAY()-E166))</f>
        <v/>
      </c>
      <c r="I166" s="16" t="str">
        <f aca="true">IF(AND(G166="",F166&lt;&gt;"",TODAY()&gt;F166),"OVERDUE","")</f>
        <v/>
      </c>
      <c r="J166" s="16"/>
      <c r="K166" s="16"/>
    </row>
    <row r="167" customFormat="false" ht="15" hidden="false" customHeight="false" outlineLevel="0" collapsed="false">
      <c r="A167" s="16"/>
      <c r="B167" s="16"/>
      <c r="C167" s="16"/>
      <c r="D167" s="16"/>
      <c r="E167" s="17"/>
      <c r="F167" s="17"/>
      <c r="G167" s="17"/>
      <c r="H167" s="16" t="str">
        <f aca="true">IF(E167="","",IF(G167&lt;&gt;"",G167-E167,TODAY()-E167))</f>
        <v/>
      </c>
      <c r="I167" s="16" t="str">
        <f aca="true">IF(AND(G167="",F167&lt;&gt;"",TODAY()&gt;F167),"OVERDUE","")</f>
        <v/>
      </c>
      <c r="J167" s="16"/>
      <c r="K167" s="16"/>
    </row>
    <row r="168" customFormat="false" ht="15" hidden="false" customHeight="false" outlineLevel="0" collapsed="false">
      <c r="A168" s="16"/>
      <c r="B168" s="16"/>
      <c r="C168" s="16"/>
      <c r="D168" s="16"/>
      <c r="E168" s="17"/>
      <c r="F168" s="17"/>
      <c r="G168" s="17"/>
      <c r="H168" s="16" t="str">
        <f aca="true">IF(E168="","",IF(G168&lt;&gt;"",G168-E168,TODAY()-E168))</f>
        <v/>
      </c>
      <c r="I168" s="16" t="str">
        <f aca="true">IF(AND(G168="",F168&lt;&gt;"",TODAY()&gt;F168),"OVERDUE","")</f>
        <v/>
      </c>
      <c r="J168" s="16"/>
      <c r="K168" s="16"/>
    </row>
    <row r="169" customFormat="false" ht="15" hidden="false" customHeight="false" outlineLevel="0" collapsed="false">
      <c r="A169" s="16"/>
      <c r="B169" s="16"/>
      <c r="C169" s="16"/>
      <c r="D169" s="16"/>
      <c r="E169" s="17"/>
      <c r="F169" s="17"/>
      <c r="G169" s="17"/>
      <c r="H169" s="16" t="str">
        <f aca="true">IF(E169="","",IF(G169&lt;&gt;"",G169-E169,TODAY()-E169))</f>
        <v/>
      </c>
      <c r="I169" s="16" t="str">
        <f aca="true">IF(AND(G169="",F169&lt;&gt;"",TODAY()&gt;F169),"OVERDUE","")</f>
        <v/>
      </c>
      <c r="J169" s="16"/>
      <c r="K169" s="16"/>
    </row>
    <row r="170" customFormat="false" ht="15" hidden="false" customHeight="false" outlineLevel="0" collapsed="false">
      <c r="A170" s="16"/>
      <c r="B170" s="16"/>
      <c r="C170" s="16"/>
      <c r="D170" s="16"/>
      <c r="E170" s="17"/>
      <c r="F170" s="17"/>
      <c r="G170" s="17"/>
      <c r="H170" s="16" t="str">
        <f aca="true">IF(E170="","",IF(G170&lt;&gt;"",G170-E170,TODAY()-E170))</f>
        <v/>
      </c>
      <c r="I170" s="16" t="str">
        <f aca="true">IF(AND(G170="",F170&lt;&gt;"",TODAY()&gt;F170),"OVERDUE","")</f>
        <v/>
      </c>
      <c r="J170" s="16"/>
      <c r="K170" s="16"/>
    </row>
    <row r="171" customFormat="false" ht="15" hidden="false" customHeight="false" outlineLevel="0" collapsed="false">
      <c r="A171" s="16"/>
      <c r="B171" s="16"/>
      <c r="C171" s="16"/>
      <c r="D171" s="16"/>
      <c r="E171" s="17"/>
      <c r="F171" s="17"/>
      <c r="G171" s="17"/>
      <c r="H171" s="16" t="str">
        <f aca="true">IF(E171="","",IF(G171&lt;&gt;"",G171-E171,TODAY()-E171))</f>
        <v/>
      </c>
      <c r="I171" s="16" t="str">
        <f aca="true">IF(AND(G171="",F171&lt;&gt;"",TODAY()&gt;F171),"OVERDUE","")</f>
        <v/>
      </c>
      <c r="J171" s="16"/>
      <c r="K171" s="16"/>
    </row>
    <row r="172" customFormat="false" ht="15" hidden="false" customHeight="false" outlineLevel="0" collapsed="false">
      <c r="A172" s="16"/>
      <c r="B172" s="16"/>
      <c r="C172" s="16"/>
      <c r="D172" s="16"/>
      <c r="E172" s="17"/>
      <c r="F172" s="17"/>
      <c r="G172" s="17"/>
      <c r="H172" s="16" t="str">
        <f aca="true">IF(E172="","",IF(G172&lt;&gt;"",G172-E172,TODAY()-E172))</f>
        <v/>
      </c>
      <c r="I172" s="16" t="str">
        <f aca="true">IF(AND(G172="",F172&lt;&gt;"",TODAY()&gt;F172),"OVERDUE","")</f>
        <v/>
      </c>
      <c r="J172" s="16"/>
      <c r="K172" s="16"/>
    </row>
    <row r="173" customFormat="false" ht="15" hidden="false" customHeight="false" outlineLevel="0" collapsed="false">
      <c r="A173" s="16"/>
      <c r="B173" s="16"/>
      <c r="C173" s="16"/>
      <c r="D173" s="16"/>
      <c r="E173" s="17"/>
      <c r="F173" s="17"/>
      <c r="G173" s="17"/>
      <c r="H173" s="16" t="str">
        <f aca="true">IF(E173="","",IF(G173&lt;&gt;"",G173-E173,TODAY()-E173))</f>
        <v/>
      </c>
      <c r="I173" s="16" t="str">
        <f aca="true">IF(AND(G173="",F173&lt;&gt;"",TODAY()&gt;F173),"OVERDUE","")</f>
        <v/>
      </c>
      <c r="J173" s="16"/>
      <c r="K173" s="16"/>
    </row>
    <row r="174" customFormat="false" ht="15" hidden="false" customHeight="false" outlineLevel="0" collapsed="false">
      <c r="A174" s="16"/>
      <c r="B174" s="16"/>
      <c r="C174" s="16"/>
      <c r="D174" s="16"/>
      <c r="E174" s="17"/>
      <c r="F174" s="17"/>
      <c r="G174" s="17"/>
      <c r="H174" s="16" t="str">
        <f aca="true">IF(E174="","",IF(G174&lt;&gt;"",G174-E174,TODAY()-E174))</f>
        <v/>
      </c>
      <c r="I174" s="16" t="str">
        <f aca="true">IF(AND(G174="",F174&lt;&gt;"",TODAY()&gt;F174),"OVERDUE","")</f>
        <v/>
      </c>
      <c r="J174" s="16"/>
      <c r="K174" s="16"/>
    </row>
    <row r="175" customFormat="false" ht="15" hidden="false" customHeight="false" outlineLevel="0" collapsed="false">
      <c r="A175" s="16"/>
      <c r="B175" s="16"/>
      <c r="C175" s="16"/>
      <c r="D175" s="16"/>
      <c r="E175" s="17"/>
      <c r="F175" s="17"/>
      <c r="G175" s="17"/>
      <c r="H175" s="16" t="str">
        <f aca="true">IF(E175="","",IF(G175&lt;&gt;"",G175-E175,TODAY()-E175))</f>
        <v/>
      </c>
      <c r="I175" s="16" t="str">
        <f aca="true">IF(AND(G175="",F175&lt;&gt;"",TODAY()&gt;F175),"OVERDUE","")</f>
        <v/>
      </c>
      <c r="J175" s="16"/>
      <c r="K175" s="16"/>
    </row>
    <row r="176" customFormat="false" ht="15" hidden="false" customHeight="false" outlineLevel="0" collapsed="false">
      <c r="A176" s="16"/>
      <c r="B176" s="16"/>
      <c r="C176" s="16"/>
      <c r="D176" s="16"/>
      <c r="E176" s="17"/>
      <c r="F176" s="17"/>
      <c r="G176" s="17"/>
      <c r="H176" s="16" t="str">
        <f aca="true">IF(E176="","",IF(G176&lt;&gt;"",G176-E176,TODAY()-E176))</f>
        <v/>
      </c>
      <c r="I176" s="16" t="str">
        <f aca="true">IF(AND(G176="",F176&lt;&gt;"",TODAY()&gt;F176),"OVERDUE","")</f>
        <v/>
      </c>
      <c r="J176" s="16"/>
      <c r="K176" s="16"/>
    </row>
    <row r="177" customFormat="false" ht="15" hidden="false" customHeight="false" outlineLevel="0" collapsed="false">
      <c r="A177" s="16"/>
      <c r="B177" s="16"/>
      <c r="C177" s="16"/>
      <c r="D177" s="16"/>
      <c r="E177" s="17"/>
      <c r="F177" s="17"/>
      <c r="G177" s="17"/>
      <c r="H177" s="16" t="str">
        <f aca="true">IF(E177="","",IF(G177&lt;&gt;"",G177-E177,TODAY()-E177))</f>
        <v/>
      </c>
      <c r="I177" s="16" t="str">
        <f aca="true">IF(AND(G177="",F177&lt;&gt;"",TODAY()&gt;F177),"OVERDUE","")</f>
        <v/>
      </c>
      <c r="J177" s="16"/>
      <c r="K177" s="16"/>
    </row>
    <row r="178" customFormat="false" ht="15" hidden="false" customHeight="false" outlineLevel="0" collapsed="false">
      <c r="A178" s="16"/>
      <c r="B178" s="16"/>
      <c r="C178" s="16"/>
      <c r="D178" s="16"/>
      <c r="E178" s="17"/>
      <c r="F178" s="17"/>
      <c r="G178" s="17"/>
      <c r="H178" s="16" t="str">
        <f aca="true">IF(E178="","",IF(G178&lt;&gt;"",G178-E178,TODAY()-E178))</f>
        <v/>
      </c>
      <c r="I178" s="16" t="str">
        <f aca="true">IF(AND(G178="",F178&lt;&gt;"",TODAY()&gt;F178),"OVERDUE","")</f>
        <v/>
      </c>
      <c r="J178" s="16"/>
      <c r="K178" s="16"/>
    </row>
    <row r="179" customFormat="false" ht="15" hidden="false" customHeight="false" outlineLevel="0" collapsed="false">
      <c r="A179" s="16"/>
      <c r="B179" s="16"/>
      <c r="C179" s="16"/>
      <c r="D179" s="16"/>
      <c r="E179" s="17"/>
      <c r="F179" s="17"/>
      <c r="G179" s="17"/>
      <c r="H179" s="16" t="str">
        <f aca="true">IF(E179="","",IF(G179&lt;&gt;"",G179-E179,TODAY()-E179))</f>
        <v/>
      </c>
      <c r="I179" s="16" t="str">
        <f aca="true">IF(AND(G179="",F179&lt;&gt;"",TODAY()&gt;F179),"OVERDUE","")</f>
        <v/>
      </c>
      <c r="J179" s="16"/>
      <c r="K179" s="16"/>
    </row>
    <row r="180" customFormat="false" ht="15" hidden="false" customHeight="false" outlineLevel="0" collapsed="false">
      <c r="A180" s="16"/>
      <c r="B180" s="16"/>
      <c r="C180" s="16"/>
      <c r="D180" s="16"/>
      <c r="E180" s="17"/>
      <c r="F180" s="17"/>
      <c r="G180" s="17"/>
      <c r="H180" s="16" t="str">
        <f aca="true">IF(E180="","",IF(G180&lt;&gt;"",G180-E180,TODAY()-E180))</f>
        <v/>
      </c>
      <c r="I180" s="16" t="str">
        <f aca="true">IF(AND(G180="",F180&lt;&gt;"",TODAY()&gt;F180),"OVERDUE","")</f>
        <v/>
      </c>
      <c r="J180" s="16"/>
      <c r="K180" s="16"/>
    </row>
    <row r="181" customFormat="false" ht="15" hidden="false" customHeight="false" outlineLevel="0" collapsed="false">
      <c r="A181" s="16"/>
      <c r="B181" s="16"/>
      <c r="C181" s="16"/>
      <c r="D181" s="16"/>
      <c r="E181" s="17"/>
      <c r="F181" s="17"/>
      <c r="G181" s="17"/>
      <c r="H181" s="16" t="str">
        <f aca="true">IF(E181="","",IF(G181&lt;&gt;"",G181-E181,TODAY()-E181))</f>
        <v/>
      </c>
      <c r="I181" s="16" t="str">
        <f aca="true">IF(AND(G181="",F181&lt;&gt;"",TODAY()&gt;F181),"OVERDUE","")</f>
        <v/>
      </c>
      <c r="J181" s="16"/>
      <c r="K181" s="16"/>
    </row>
    <row r="182" customFormat="false" ht="15" hidden="false" customHeight="false" outlineLevel="0" collapsed="false">
      <c r="A182" s="16"/>
      <c r="B182" s="16"/>
      <c r="C182" s="16"/>
      <c r="D182" s="16"/>
      <c r="E182" s="17"/>
      <c r="F182" s="17"/>
      <c r="G182" s="17"/>
      <c r="H182" s="16" t="str">
        <f aca="true">IF(E182="","",IF(G182&lt;&gt;"",G182-E182,TODAY()-E182))</f>
        <v/>
      </c>
      <c r="I182" s="16" t="str">
        <f aca="true">IF(AND(G182="",F182&lt;&gt;"",TODAY()&gt;F182),"OVERDUE","")</f>
        <v/>
      </c>
      <c r="J182" s="16"/>
      <c r="K182" s="16"/>
    </row>
    <row r="183" customFormat="false" ht="15" hidden="false" customHeight="false" outlineLevel="0" collapsed="false">
      <c r="A183" s="16"/>
      <c r="B183" s="16"/>
      <c r="C183" s="16"/>
      <c r="D183" s="16"/>
      <c r="E183" s="17"/>
      <c r="F183" s="17"/>
      <c r="G183" s="17"/>
      <c r="H183" s="16" t="str">
        <f aca="true">IF(E183="","",IF(G183&lt;&gt;"",G183-E183,TODAY()-E183))</f>
        <v/>
      </c>
      <c r="I183" s="16" t="str">
        <f aca="true">IF(AND(G183="",F183&lt;&gt;"",TODAY()&gt;F183),"OVERDUE","")</f>
        <v/>
      </c>
      <c r="J183" s="16"/>
      <c r="K183" s="16"/>
    </row>
    <row r="184" customFormat="false" ht="15" hidden="false" customHeight="false" outlineLevel="0" collapsed="false">
      <c r="A184" s="16"/>
      <c r="B184" s="16"/>
      <c r="C184" s="16"/>
      <c r="D184" s="16"/>
      <c r="E184" s="17"/>
      <c r="F184" s="17"/>
      <c r="G184" s="17"/>
      <c r="H184" s="16" t="str">
        <f aca="true">IF(E184="","",IF(G184&lt;&gt;"",G184-E184,TODAY()-E184))</f>
        <v/>
      </c>
      <c r="I184" s="16" t="str">
        <f aca="true">IF(AND(G184="",F184&lt;&gt;"",TODAY()&gt;F184),"OVERDUE","")</f>
        <v/>
      </c>
      <c r="J184" s="16"/>
      <c r="K184" s="16"/>
    </row>
    <row r="185" customFormat="false" ht="15" hidden="false" customHeight="false" outlineLevel="0" collapsed="false">
      <c r="A185" s="16"/>
      <c r="B185" s="16"/>
      <c r="C185" s="16"/>
      <c r="D185" s="16"/>
      <c r="E185" s="17"/>
      <c r="F185" s="17"/>
      <c r="G185" s="17"/>
      <c r="H185" s="16" t="str">
        <f aca="true">IF(E185="","",IF(G185&lt;&gt;"",G185-E185,TODAY()-E185))</f>
        <v/>
      </c>
      <c r="I185" s="16" t="str">
        <f aca="true">IF(AND(G185="",F185&lt;&gt;"",TODAY()&gt;F185),"OVERDUE","")</f>
        <v/>
      </c>
      <c r="J185" s="16"/>
      <c r="K185" s="16"/>
    </row>
    <row r="186" customFormat="false" ht="15" hidden="false" customHeight="false" outlineLevel="0" collapsed="false">
      <c r="A186" s="16"/>
      <c r="B186" s="16"/>
      <c r="C186" s="16"/>
      <c r="D186" s="16"/>
      <c r="E186" s="17"/>
      <c r="F186" s="17"/>
      <c r="G186" s="17"/>
      <c r="H186" s="16" t="str">
        <f aca="true">IF(E186="","",IF(G186&lt;&gt;"",G186-E186,TODAY()-E186))</f>
        <v/>
      </c>
      <c r="I186" s="16" t="str">
        <f aca="true">IF(AND(G186="",F186&lt;&gt;"",TODAY()&gt;F186),"OVERDUE","")</f>
        <v/>
      </c>
      <c r="J186" s="16"/>
      <c r="K186" s="16"/>
    </row>
    <row r="187" customFormat="false" ht="15" hidden="false" customHeight="false" outlineLevel="0" collapsed="false">
      <c r="A187" s="16"/>
      <c r="B187" s="16"/>
      <c r="C187" s="16"/>
      <c r="D187" s="16"/>
      <c r="E187" s="17"/>
      <c r="F187" s="17"/>
      <c r="G187" s="17"/>
      <c r="H187" s="16" t="str">
        <f aca="true">IF(E187="","",IF(G187&lt;&gt;"",G187-E187,TODAY()-E187))</f>
        <v/>
      </c>
      <c r="I187" s="16" t="str">
        <f aca="true">IF(AND(G187="",F187&lt;&gt;"",TODAY()&gt;F187),"OVERDUE","")</f>
        <v/>
      </c>
      <c r="J187" s="16"/>
      <c r="K187" s="16"/>
    </row>
    <row r="188" customFormat="false" ht="15" hidden="false" customHeight="false" outlineLevel="0" collapsed="false">
      <c r="A188" s="16"/>
      <c r="B188" s="16"/>
      <c r="C188" s="16"/>
      <c r="D188" s="16"/>
      <c r="E188" s="17"/>
      <c r="F188" s="17"/>
      <c r="G188" s="17"/>
      <c r="H188" s="16" t="str">
        <f aca="true">IF(E188="","",IF(G188&lt;&gt;"",G188-E188,TODAY()-E188))</f>
        <v/>
      </c>
      <c r="I188" s="16" t="str">
        <f aca="true">IF(AND(G188="",F188&lt;&gt;"",TODAY()&gt;F188),"OVERDUE","")</f>
        <v/>
      </c>
      <c r="J188" s="16"/>
      <c r="K188" s="16"/>
    </row>
    <row r="189" customFormat="false" ht="15" hidden="false" customHeight="false" outlineLevel="0" collapsed="false">
      <c r="A189" s="16"/>
      <c r="B189" s="16"/>
      <c r="C189" s="16"/>
      <c r="D189" s="16"/>
      <c r="E189" s="17"/>
      <c r="F189" s="17"/>
      <c r="G189" s="17"/>
      <c r="H189" s="16" t="str">
        <f aca="true">IF(E189="","",IF(G189&lt;&gt;"",G189-E189,TODAY()-E189))</f>
        <v/>
      </c>
      <c r="I189" s="16" t="str">
        <f aca="true">IF(AND(G189="",F189&lt;&gt;"",TODAY()&gt;F189),"OVERDUE","")</f>
        <v/>
      </c>
      <c r="J189" s="16"/>
      <c r="K189" s="16"/>
    </row>
    <row r="190" customFormat="false" ht="15" hidden="false" customHeight="false" outlineLevel="0" collapsed="false">
      <c r="A190" s="16"/>
      <c r="B190" s="16"/>
      <c r="C190" s="16"/>
      <c r="D190" s="16"/>
      <c r="E190" s="17"/>
      <c r="F190" s="17"/>
      <c r="G190" s="17"/>
      <c r="H190" s="16" t="str">
        <f aca="true">IF(E190="","",IF(G190&lt;&gt;"",G190-E190,TODAY()-E190))</f>
        <v/>
      </c>
      <c r="I190" s="16" t="str">
        <f aca="true">IF(AND(G190="",F190&lt;&gt;"",TODAY()&gt;F190),"OVERDUE","")</f>
        <v/>
      </c>
      <c r="J190" s="16"/>
      <c r="K190" s="16"/>
    </row>
    <row r="191" customFormat="false" ht="15" hidden="false" customHeight="false" outlineLevel="0" collapsed="false">
      <c r="A191" s="16"/>
      <c r="B191" s="16"/>
      <c r="C191" s="16"/>
      <c r="D191" s="16"/>
      <c r="E191" s="17"/>
      <c r="F191" s="17"/>
      <c r="G191" s="17"/>
      <c r="H191" s="16" t="str">
        <f aca="true">IF(E191="","",IF(G191&lt;&gt;"",G191-E191,TODAY()-E191))</f>
        <v/>
      </c>
      <c r="I191" s="16" t="str">
        <f aca="true">IF(AND(G191="",F191&lt;&gt;"",TODAY()&gt;F191),"OVERDUE","")</f>
        <v/>
      </c>
      <c r="J191" s="16"/>
      <c r="K191" s="16"/>
    </row>
    <row r="192" customFormat="false" ht="15" hidden="false" customHeight="false" outlineLevel="0" collapsed="false">
      <c r="A192" s="16"/>
      <c r="B192" s="16"/>
      <c r="C192" s="16"/>
      <c r="D192" s="16"/>
      <c r="E192" s="17"/>
      <c r="F192" s="17"/>
      <c r="G192" s="17"/>
      <c r="H192" s="16" t="str">
        <f aca="true">IF(E192="","",IF(G192&lt;&gt;"",G192-E192,TODAY()-E192))</f>
        <v/>
      </c>
      <c r="I192" s="16" t="str">
        <f aca="true">IF(AND(G192="",F192&lt;&gt;"",TODAY()&gt;F192),"OVERDUE","")</f>
        <v/>
      </c>
      <c r="J192" s="16"/>
      <c r="K192" s="16"/>
    </row>
    <row r="193" customFormat="false" ht="15" hidden="false" customHeight="false" outlineLevel="0" collapsed="false">
      <c r="A193" s="16"/>
      <c r="B193" s="16"/>
      <c r="C193" s="16"/>
      <c r="D193" s="16"/>
      <c r="E193" s="17"/>
      <c r="F193" s="17"/>
      <c r="G193" s="17"/>
      <c r="H193" s="16" t="str">
        <f aca="true">IF(E193="","",IF(G193&lt;&gt;"",G193-E193,TODAY()-E193))</f>
        <v/>
      </c>
      <c r="I193" s="16" t="str">
        <f aca="true">IF(AND(G193="",F193&lt;&gt;"",TODAY()&gt;F193),"OVERDUE","")</f>
        <v/>
      </c>
      <c r="J193" s="16"/>
      <c r="K193" s="16"/>
    </row>
    <row r="194" customFormat="false" ht="15" hidden="false" customHeight="false" outlineLevel="0" collapsed="false">
      <c r="A194" s="16"/>
      <c r="B194" s="16"/>
      <c r="C194" s="16"/>
      <c r="D194" s="16"/>
      <c r="E194" s="17"/>
      <c r="F194" s="17"/>
      <c r="G194" s="17"/>
      <c r="H194" s="16" t="str">
        <f aca="true">IF(E194="","",IF(G194&lt;&gt;"",G194-E194,TODAY()-E194))</f>
        <v/>
      </c>
      <c r="I194" s="16" t="str">
        <f aca="true">IF(AND(G194="",F194&lt;&gt;"",TODAY()&gt;F194),"OVERDUE","")</f>
        <v/>
      </c>
      <c r="J194" s="16"/>
      <c r="K194" s="16"/>
    </row>
    <row r="195" customFormat="false" ht="15" hidden="false" customHeight="false" outlineLevel="0" collapsed="false">
      <c r="A195" s="16"/>
      <c r="B195" s="16"/>
      <c r="C195" s="16"/>
      <c r="D195" s="16"/>
      <c r="E195" s="17"/>
      <c r="F195" s="17"/>
      <c r="G195" s="17"/>
      <c r="H195" s="16" t="str">
        <f aca="true">IF(E195="","",IF(G195&lt;&gt;"",G195-E195,TODAY()-E195))</f>
        <v/>
      </c>
      <c r="I195" s="16" t="str">
        <f aca="true">IF(AND(G195="",F195&lt;&gt;"",TODAY()&gt;F195),"OVERDUE","")</f>
        <v/>
      </c>
      <c r="J195" s="16"/>
      <c r="K195" s="16"/>
    </row>
    <row r="196" customFormat="false" ht="15" hidden="false" customHeight="false" outlineLevel="0" collapsed="false">
      <c r="A196" s="16"/>
      <c r="B196" s="16"/>
      <c r="C196" s="16"/>
      <c r="D196" s="16"/>
      <c r="E196" s="17"/>
      <c r="F196" s="17"/>
      <c r="G196" s="17"/>
      <c r="H196" s="16" t="str">
        <f aca="true">IF(E196="","",IF(G196&lt;&gt;"",G196-E196,TODAY()-E196))</f>
        <v/>
      </c>
      <c r="I196" s="16" t="str">
        <f aca="true">IF(AND(G196="",F196&lt;&gt;"",TODAY()&gt;F196),"OVERDUE","")</f>
        <v/>
      </c>
      <c r="J196" s="16"/>
      <c r="K196" s="16"/>
    </row>
    <row r="197" customFormat="false" ht="15" hidden="false" customHeight="false" outlineLevel="0" collapsed="false">
      <c r="A197" s="16"/>
      <c r="B197" s="16"/>
      <c r="C197" s="16"/>
      <c r="D197" s="16"/>
      <c r="E197" s="17"/>
      <c r="F197" s="17"/>
      <c r="G197" s="17"/>
      <c r="H197" s="16" t="str">
        <f aca="true">IF(E197="","",IF(G197&lt;&gt;"",G197-E197,TODAY()-E197))</f>
        <v/>
      </c>
      <c r="I197" s="16" t="str">
        <f aca="true">IF(AND(G197="",F197&lt;&gt;"",TODAY()&gt;F197),"OVERDUE","")</f>
        <v/>
      </c>
      <c r="J197" s="16"/>
      <c r="K197" s="16"/>
    </row>
    <row r="198" customFormat="false" ht="15" hidden="false" customHeight="false" outlineLevel="0" collapsed="false">
      <c r="A198" s="16"/>
      <c r="B198" s="16"/>
      <c r="C198" s="16"/>
      <c r="D198" s="16"/>
      <c r="E198" s="17"/>
      <c r="F198" s="17"/>
      <c r="G198" s="17"/>
      <c r="H198" s="16" t="str">
        <f aca="true">IF(E198="","",IF(G198&lt;&gt;"",G198-E198,TODAY()-E198))</f>
        <v/>
      </c>
      <c r="I198" s="16" t="str">
        <f aca="true">IF(AND(G198="",F198&lt;&gt;"",TODAY()&gt;F198),"OVERDUE","")</f>
        <v/>
      </c>
      <c r="J198" s="16"/>
      <c r="K198" s="16"/>
    </row>
    <row r="199" customFormat="false" ht="15" hidden="false" customHeight="false" outlineLevel="0" collapsed="false">
      <c r="A199" s="16"/>
      <c r="B199" s="16"/>
      <c r="C199" s="16"/>
      <c r="D199" s="16"/>
      <c r="E199" s="17"/>
      <c r="F199" s="17"/>
      <c r="G199" s="17"/>
      <c r="H199" s="16" t="str">
        <f aca="true">IF(E199="","",IF(G199&lt;&gt;"",G199-E199,TODAY()-E199))</f>
        <v/>
      </c>
      <c r="I199" s="16" t="str">
        <f aca="true">IF(AND(G199="",F199&lt;&gt;"",TODAY()&gt;F199),"OVERDUE","")</f>
        <v/>
      </c>
      <c r="J199" s="16"/>
      <c r="K199" s="16"/>
    </row>
    <row r="200" customFormat="false" ht="15" hidden="false" customHeight="false" outlineLevel="0" collapsed="false">
      <c r="A200" s="16"/>
      <c r="B200" s="16"/>
      <c r="C200" s="16"/>
      <c r="D200" s="16"/>
      <c r="E200" s="17"/>
      <c r="F200" s="17"/>
      <c r="G200" s="17"/>
      <c r="H200" s="16" t="str">
        <f aca="true">IF(E200="","",IF(G200&lt;&gt;"",G200-E200,TODAY()-E200))</f>
        <v/>
      </c>
      <c r="I200" s="16" t="str">
        <f aca="true">IF(AND(G200="",F200&lt;&gt;"",TODAY()&gt;F200),"OVERDUE","")</f>
        <v/>
      </c>
      <c r="J200" s="16"/>
      <c r="K200" s="16"/>
    </row>
    <row r="201" customFormat="false" ht="15" hidden="false" customHeight="false" outlineLevel="0" collapsed="false">
      <c r="A201" s="16"/>
      <c r="B201" s="16"/>
      <c r="C201" s="16"/>
      <c r="D201" s="16"/>
      <c r="E201" s="17"/>
      <c r="F201" s="17"/>
      <c r="G201" s="17"/>
      <c r="H201" s="16" t="str">
        <f aca="true">IF(E201="","",IF(G201&lt;&gt;"",G201-E201,TODAY()-E201))</f>
        <v/>
      </c>
      <c r="I201" s="16" t="str">
        <f aca="true">IF(AND(G201="",F201&lt;&gt;"",TODAY()&gt;F201),"OVERDUE","")</f>
        <v/>
      </c>
      <c r="J201" s="16"/>
      <c r="K201" s="16"/>
    </row>
    <row r="202" customFormat="false" ht="15" hidden="false" customHeight="false" outlineLevel="0" collapsed="false">
      <c r="A202" s="16"/>
      <c r="B202" s="16"/>
      <c r="C202" s="16"/>
      <c r="D202" s="16"/>
      <c r="E202" s="17"/>
      <c r="F202" s="17"/>
      <c r="G202" s="17"/>
      <c r="H202" s="16" t="str">
        <f aca="true">IF(E202="","",IF(G202&lt;&gt;"",G202-E202,TODAY()-E202))</f>
        <v/>
      </c>
      <c r="I202" s="16" t="str">
        <f aca="true">IF(AND(G202="",F202&lt;&gt;"",TODAY()&gt;F202),"OVERDUE","")</f>
        <v/>
      </c>
      <c r="J202" s="16"/>
      <c r="K202" s="16"/>
    </row>
    <row r="203" customFormat="false" ht="15" hidden="false" customHeight="false" outlineLevel="0" collapsed="false">
      <c r="A203" s="16"/>
      <c r="B203" s="16"/>
      <c r="C203" s="16"/>
      <c r="D203" s="16"/>
      <c r="E203" s="17"/>
      <c r="F203" s="17"/>
      <c r="G203" s="17"/>
      <c r="H203" s="16" t="str">
        <f aca="true">IF(E203="","",IF(G203&lt;&gt;"",G203-E203,TODAY()-E203))</f>
        <v/>
      </c>
      <c r="I203" s="16" t="str">
        <f aca="true">IF(AND(G203="",F203&lt;&gt;"",TODAY()&gt;F203),"OVERDUE","")</f>
        <v/>
      </c>
      <c r="J203" s="16"/>
      <c r="K203" s="16"/>
    </row>
    <row r="204" customFormat="false" ht="15" hidden="false" customHeight="false" outlineLevel="0" collapsed="false">
      <c r="A204" s="16"/>
      <c r="B204" s="16"/>
      <c r="C204" s="16"/>
      <c r="D204" s="16"/>
      <c r="E204" s="17"/>
      <c r="F204" s="17"/>
      <c r="G204" s="17"/>
      <c r="H204" s="16" t="str">
        <f aca="true">IF(E204="","",IF(G204&lt;&gt;"",G204-E204,TODAY()-E204))</f>
        <v/>
      </c>
      <c r="I204" s="16" t="str">
        <f aca="true">IF(AND(G204="",F204&lt;&gt;"",TODAY()&gt;F204),"OVERDUE","")</f>
        <v/>
      </c>
      <c r="J204" s="16"/>
      <c r="K204" s="16"/>
    </row>
    <row r="205" customFormat="false" ht="15" hidden="false" customHeight="false" outlineLevel="0" collapsed="false">
      <c r="A205" s="16"/>
      <c r="B205" s="16"/>
      <c r="C205" s="16"/>
      <c r="D205" s="16"/>
      <c r="E205" s="17"/>
      <c r="F205" s="17"/>
      <c r="G205" s="17"/>
      <c r="H205" s="16" t="str">
        <f aca="true">IF(E205="","",IF(G205&lt;&gt;"",G205-E205,TODAY()-E205))</f>
        <v/>
      </c>
      <c r="I205" s="16" t="str">
        <f aca="true">IF(AND(G205="",F205&lt;&gt;"",TODAY()&gt;F205),"OVERDUE","")</f>
        <v/>
      </c>
      <c r="J205" s="16"/>
      <c r="K205" s="16"/>
    </row>
    <row r="206" customFormat="false" ht="15" hidden="false" customHeight="false" outlineLevel="0" collapsed="false">
      <c r="A206" s="16"/>
      <c r="B206" s="16"/>
      <c r="C206" s="16"/>
      <c r="D206" s="16"/>
      <c r="E206" s="17"/>
      <c r="F206" s="17"/>
      <c r="G206" s="17"/>
      <c r="H206" s="16" t="str">
        <f aca="true">IF(E206="","",IF(G206&lt;&gt;"",G206-E206,TODAY()-E206))</f>
        <v/>
      </c>
      <c r="I206" s="16" t="str">
        <f aca="true">IF(AND(G206="",F206&lt;&gt;"",TODAY()&gt;F206),"OVERDUE","")</f>
        <v/>
      </c>
      <c r="J206" s="16"/>
      <c r="K206" s="16"/>
    </row>
    <row r="207" customFormat="false" ht="15" hidden="false" customHeight="false" outlineLevel="0" collapsed="false">
      <c r="A207" s="16"/>
      <c r="B207" s="16"/>
      <c r="C207" s="16"/>
      <c r="D207" s="16"/>
      <c r="E207" s="17"/>
      <c r="F207" s="17"/>
      <c r="G207" s="17"/>
      <c r="H207" s="16" t="str">
        <f aca="true">IF(E207="","",IF(G207&lt;&gt;"",G207-E207,TODAY()-E207))</f>
        <v/>
      </c>
      <c r="I207" s="16" t="str">
        <f aca="true">IF(AND(G207="",F207&lt;&gt;"",TODAY()&gt;F207),"OVERDUE","")</f>
        <v/>
      </c>
      <c r="J207" s="16"/>
      <c r="K207" s="16"/>
    </row>
    <row r="208" customFormat="false" ht="15" hidden="false" customHeight="false" outlineLevel="0" collapsed="false">
      <c r="A208" s="16"/>
      <c r="B208" s="16"/>
      <c r="C208" s="16"/>
      <c r="D208" s="16"/>
      <c r="E208" s="17"/>
      <c r="F208" s="17"/>
      <c r="G208" s="17"/>
      <c r="H208" s="16" t="str">
        <f aca="true">IF(E208="","",IF(G208&lt;&gt;"",G208-E208,TODAY()-E208))</f>
        <v/>
      </c>
      <c r="I208" s="16" t="str">
        <f aca="true">IF(AND(G208="",F208&lt;&gt;"",TODAY()&gt;F208),"OVERDUE","")</f>
        <v/>
      </c>
      <c r="J208" s="16"/>
      <c r="K208" s="16"/>
    </row>
    <row r="209" customFormat="false" ht="15" hidden="false" customHeight="false" outlineLevel="0" collapsed="false">
      <c r="A209" s="16"/>
      <c r="B209" s="16"/>
      <c r="C209" s="16"/>
      <c r="D209" s="16"/>
      <c r="E209" s="17"/>
      <c r="F209" s="17"/>
      <c r="G209" s="17"/>
      <c r="H209" s="16" t="str">
        <f aca="true">IF(E209="","",IF(G209&lt;&gt;"",G209-E209,TODAY()-E209))</f>
        <v/>
      </c>
      <c r="I209" s="16" t="str">
        <f aca="true">IF(AND(G209="",F209&lt;&gt;"",TODAY()&gt;F209),"OVERDUE","")</f>
        <v/>
      </c>
      <c r="J209" s="16"/>
      <c r="K209" s="16"/>
    </row>
    <row r="210" customFormat="false" ht="15" hidden="false" customHeight="false" outlineLevel="0" collapsed="false">
      <c r="A210" s="16"/>
      <c r="B210" s="16"/>
      <c r="C210" s="16"/>
      <c r="D210" s="16"/>
      <c r="E210" s="17"/>
      <c r="F210" s="17"/>
      <c r="G210" s="17"/>
      <c r="H210" s="16" t="str">
        <f aca="true">IF(E210="","",IF(G210&lt;&gt;"",G210-E210,TODAY()-E210))</f>
        <v/>
      </c>
      <c r="I210" s="16" t="str">
        <f aca="true">IF(AND(G210="",F210&lt;&gt;"",TODAY()&gt;F210),"OVERDUE","")</f>
        <v/>
      </c>
      <c r="J210" s="16"/>
      <c r="K210" s="16"/>
    </row>
    <row r="211" customFormat="false" ht="15" hidden="false" customHeight="false" outlineLevel="0" collapsed="false">
      <c r="A211" s="16"/>
      <c r="B211" s="16"/>
      <c r="C211" s="16"/>
      <c r="D211" s="16"/>
      <c r="E211" s="17"/>
      <c r="F211" s="17"/>
      <c r="G211" s="17"/>
      <c r="H211" s="16" t="str">
        <f aca="true">IF(E211="","",IF(G211&lt;&gt;"",G211-E211,TODAY()-E211))</f>
        <v/>
      </c>
      <c r="I211" s="16" t="str">
        <f aca="true">IF(AND(G211="",F211&lt;&gt;"",TODAY()&gt;F211),"OVERDUE","")</f>
        <v/>
      </c>
      <c r="J211" s="16"/>
      <c r="K211" s="16"/>
    </row>
    <row r="212" customFormat="false" ht="15" hidden="false" customHeight="false" outlineLevel="0" collapsed="false">
      <c r="A212" s="16"/>
      <c r="B212" s="16"/>
      <c r="C212" s="16"/>
      <c r="D212" s="16"/>
      <c r="E212" s="17"/>
      <c r="F212" s="17"/>
      <c r="G212" s="17"/>
      <c r="H212" s="16" t="str">
        <f aca="true">IF(E212="","",IF(G212&lt;&gt;"",G212-E212,TODAY()-E212))</f>
        <v/>
      </c>
      <c r="I212" s="16" t="str">
        <f aca="true">IF(AND(G212="",F212&lt;&gt;"",TODAY()&gt;F212),"OVERDUE","")</f>
        <v/>
      </c>
      <c r="J212" s="16"/>
      <c r="K212" s="16"/>
    </row>
    <row r="213" customFormat="false" ht="15" hidden="false" customHeight="false" outlineLevel="0" collapsed="false">
      <c r="A213" s="16"/>
      <c r="B213" s="16"/>
      <c r="C213" s="16"/>
      <c r="D213" s="16"/>
      <c r="E213" s="17"/>
      <c r="F213" s="17"/>
      <c r="G213" s="17"/>
      <c r="H213" s="16" t="str">
        <f aca="true">IF(E213="","",IF(G213&lt;&gt;"",G213-E213,TODAY()-E213))</f>
        <v/>
      </c>
      <c r="I213" s="16" t="str">
        <f aca="true">IF(AND(G213="",F213&lt;&gt;"",TODAY()&gt;F213),"OVERDUE","")</f>
        <v/>
      </c>
      <c r="J213" s="16"/>
      <c r="K213" s="16"/>
    </row>
    <row r="214" customFormat="false" ht="15" hidden="false" customHeight="false" outlineLevel="0" collapsed="false">
      <c r="A214" s="16"/>
      <c r="B214" s="16"/>
      <c r="C214" s="16"/>
      <c r="D214" s="16"/>
      <c r="E214" s="17"/>
      <c r="F214" s="17"/>
      <c r="G214" s="17"/>
      <c r="H214" s="16" t="str">
        <f aca="true">IF(E214="","",IF(G214&lt;&gt;"",G214-E214,TODAY()-E214))</f>
        <v/>
      </c>
      <c r="I214" s="16" t="str">
        <f aca="true">IF(AND(G214="",F214&lt;&gt;"",TODAY()&gt;F214),"OVERDUE","")</f>
        <v/>
      </c>
      <c r="J214" s="16"/>
      <c r="K214" s="16"/>
    </row>
    <row r="215" customFormat="false" ht="15" hidden="false" customHeight="false" outlineLevel="0" collapsed="false">
      <c r="A215" s="16"/>
      <c r="B215" s="16"/>
      <c r="C215" s="16"/>
      <c r="D215" s="16"/>
      <c r="E215" s="17"/>
      <c r="F215" s="17"/>
      <c r="G215" s="17"/>
      <c r="H215" s="16" t="str">
        <f aca="true">IF(E215="","",IF(G215&lt;&gt;"",G215-E215,TODAY()-E215))</f>
        <v/>
      </c>
      <c r="I215" s="16" t="str">
        <f aca="true">IF(AND(G215="",F215&lt;&gt;"",TODAY()&gt;F215),"OVERDUE","")</f>
        <v/>
      </c>
      <c r="J215" s="16"/>
      <c r="K215" s="16"/>
    </row>
    <row r="216" customFormat="false" ht="15" hidden="false" customHeight="false" outlineLevel="0" collapsed="false">
      <c r="A216" s="16"/>
      <c r="B216" s="16"/>
      <c r="C216" s="16"/>
      <c r="D216" s="16"/>
      <c r="E216" s="17"/>
      <c r="F216" s="17"/>
      <c r="G216" s="17"/>
      <c r="H216" s="16" t="str">
        <f aca="true">IF(E216="","",IF(G216&lt;&gt;"",G216-E216,TODAY()-E216))</f>
        <v/>
      </c>
      <c r="I216" s="16" t="str">
        <f aca="true">IF(AND(G216="",F216&lt;&gt;"",TODAY()&gt;F216),"OVERDUE","")</f>
        <v/>
      </c>
      <c r="J216" s="16"/>
      <c r="K216" s="16"/>
    </row>
    <row r="217" customFormat="false" ht="15" hidden="false" customHeight="false" outlineLevel="0" collapsed="false">
      <c r="A217" s="16"/>
      <c r="B217" s="16"/>
      <c r="C217" s="16"/>
      <c r="D217" s="16"/>
      <c r="E217" s="17"/>
      <c r="F217" s="17"/>
      <c r="G217" s="17"/>
      <c r="H217" s="16" t="str">
        <f aca="true">IF(E217="","",IF(G217&lt;&gt;"",G217-E217,TODAY()-E217))</f>
        <v/>
      </c>
      <c r="I217" s="16" t="str">
        <f aca="true">IF(AND(G217="",F217&lt;&gt;"",TODAY()&gt;F217),"OVERDUE","")</f>
        <v/>
      </c>
      <c r="J217" s="16"/>
      <c r="K217" s="16"/>
    </row>
    <row r="218" customFormat="false" ht="15" hidden="false" customHeight="false" outlineLevel="0" collapsed="false">
      <c r="A218" s="16"/>
      <c r="B218" s="16"/>
      <c r="C218" s="16"/>
      <c r="D218" s="16"/>
      <c r="E218" s="17"/>
      <c r="F218" s="17"/>
      <c r="G218" s="17"/>
      <c r="H218" s="16" t="str">
        <f aca="true">IF(E218="","",IF(G218&lt;&gt;"",G218-E218,TODAY()-E218))</f>
        <v/>
      </c>
      <c r="I218" s="16" t="str">
        <f aca="true">IF(AND(G218="",F218&lt;&gt;"",TODAY()&gt;F218),"OVERDUE","")</f>
        <v/>
      </c>
      <c r="J218" s="16"/>
      <c r="K218" s="16"/>
    </row>
    <row r="219" customFormat="false" ht="15" hidden="false" customHeight="false" outlineLevel="0" collapsed="false">
      <c r="A219" s="16"/>
      <c r="B219" s="16"/>
      <c r="C219" s="16"/>
      <c r="D219" s="16"/>
      <c r="E219" s="17"/>
      <c r="F219" s="17"/>
      <c r="G219" s="17"/>
      <c r="H219" s="16" t="str">
        <f aca="true">IF(E219="","",IF(G219&lt;&gt;"",G219-E219,TODAY()-E219))</f>
        <v/>
      </c>
      <c r="I219" s="16" t="str">
        <f aca="true">IF(AND(G219="",F219&lt;&gt;"",TODAY()&gt;F219),"OVERDUE","")</f>
        <v/>
      </c>
      <c r="J219" s="16"/>
      <c r="K219" s="16"/>
    </row>
    <row r="220" customFormat="false" ht="15" hidden="false" customHeight="false" outlineLevel="0" collapsed="false">
      <c r="A220" s="16"/>
      <c r="B220" s="16"/>
      <c r="C220" s="16"/>
      <c r="D220" s="16"/>
      <c r="E220" s="17"/>
      <c r="F220" s="17"/>
      <c r="G220" s="17"/>
      <c r="H220" s="16" t="str">
        <f aca="true">IF(E220="","",IF(G220&lt;&gt;"",G220-E220,TODAY()-E220))</f>
        <v/>
      </c>
      <c r="I220" s="16" t="str">
        <f aca="true">IF(AND(G220="",F220&lt;&gt;"",TODAY()&gt;F220),"OVERDUE","")</f>
        <v/>
      </c>
      <c r="J220" s="16"/>
      <c r="K220" s="16"/>
    </row>
    <row r="221" customFormat="false" ht="15" hidden="false" customHeight="false" outlineLevel="0" collapsed="false">
      <c r="A221" s="16"/>
      <c r="B221" s="16"/>
      <c r="C221" s="16"/>
      <c r="D221" s="16"/>
      <c r="E221" s="17"/>
      <c r="F221" s="17"/>
      <c r="G221" s="17"/>
      <c r="H221" s="16" t="str">
        <f aca="true">IF(E221="","",IF(G221&lt;&gt;"",G221-E221,TODAY()-E221))</f>
        <v/>
      </c>
      <c r="I221" s="16" t="str">
        <f aca="true">IF(AND(G221="",F221&lt;&gt;"",TODAY()&gt;F221),"OVERDUE","")</f>
        <v/>
      </c>
      <c r="J221" s="16"/>
      <c r="K221" s="16"/>
    </row>
    <row r="222" customFormat="false" ht="15" hidden="false" customHeight="false" outlineLevel="0" collapsed="false">
      <c r="A222" s="16"/>
      <c r="B222" s="16"/>
      <c r="C222" s="16"/>
      <c r="D222" s="16"/>
      <c r="E222" s="17"/>
      <c r="F222" s="17"/>
      <c r="G222" s="17"/>
      <c r="H222" s="16" t="str">
        <f aca="true">IF(E222="","",IF(G222&lt;&gt;"",G222-E222,TODAY()-E222))</f>
        <v/>
      </c>
      <c r="I222" s="16" t="str">
        <f aca="true">IF(AND(G222="",F222&lt;&gt;"",TODAY()&gt;F222),"OVERDUE","")</f>
        <v/>
      </c>
      <c r="J222" s="16"/>
      <c r="K222" s="16"/>
    </row>
    <row r="223" customFormat="false" ht="15" hidden="false" customHeight="false" outlineLevel="0" collapsed="false">
      <c r="A223" s="16"/>
      <c r="B223" s="16"/>
      <c r="C223" s="16"/>
      <c r="D223" s="16"/>
      <c r="E223" s="17"/>
      <c r="F223" s="17"/>
      <c r="G223" s="17"/>
      <c r="H223" s="16" t="str">
        <f aca="true">IF(E223="","",IF(G223&lt;&gt;"",G223-E223,TODAY()-E223))</f>
        <v/>
      </c>
      <c r="I223" s="16" t="str">
        <f aca="true">IF(AND(G223="",F223&lt;&gt;"",TODAY()&gt;F223),"OVERDUE","")</f>
        <v/>
      </c>
      <c r="J223" s="16"/>
      <c r="K223" s="16"/>
    </row>
    <row r="224" customFormat="false" ht="15" hidden="false" customHeight="false" outlineLevel="0" collapsed="false">
      <c r="A224" s="16"/>
      <c r="B224" s="16"/>
      <c r="C224" s="16"/>
      <c r="D224" s="16"/>
      <c r="E224" s="17"/>
      <c r="F224" s="17"/>
      <c r="G224" s="17"/>
      <c r="H224" s="16" t="str">
        <f aca="true">IF(E224="","",IF(G224&lt;&gt;"",G224-E224,TODAY()-E224))</f>
        <v/>
      </c>
      <c r="I224" s="16" t="str">
        <f aca="true">IF(AND(G224="",F224&lt;&gt;"",TODAY()&gt;F224),"OVERDUE","")</f>
        <v/>
      </c>
      <c r="J224" s="16"/>
      <c r="K224" s="16"/>
    </row>
    <row r="225" customFormat="false" ht="15" hidden="false" customHeight="false" outlineLevel="0" collapsed="false">
      <c r="A225" s="16"/>
      <c r="B225" s="16"/>
      <c r="C225" s="16"/>
      <c r="D225" s="16"/>
      <c r="E225" s="17"/>
      <c r="F225" s="17"/>
      <c r="G225" s="17"/>
      <c r="H225" s="16" t="str">
        <f aca="true">IF(E225="","",IF(G225&lt;&gt;"",G225-E225,TODAY()-E225))</f>
        <v/>
      </c>
      <c r="I225" s="16" t="str">
        <f aca="true">IF(AND(G225="",F225&lt;&gt;"",TODAY()&gt;F225),"OVERDUE","")</f>
        <v/>
      </c>
      <c r="J225" s="16"/>
      <c r="K225" s="16"/>
    </row>
    <row r="226" customFormat="false" ht="15" hidden="false" customHeight="false" outlineLevel="0" collapsed="false">
      <c r="A226" s="16"/>
      <c r="B226" s="16"/>
      <c r="C226" s="16"/>
      <c r="D226" s="16"/>
      <c r="E226" s="17"/>
      <c r="F226" s="17"/>
      <c r="G226" s="17"/>
      <c r="H226" s="16" t="str">
        <f aca="true">IF(E226="","",IF(G226&lt;&gt;"",G226-E226,TODAY()-E226))</f>
        <v/>
      </c>
      <c r="I226" s="16" t="str">
        <f aca="true">IF(AND(G226="",F226&lt;&gt;"",TODAY()&gt;F226),"OVERDUE","")</f>
        <v/>
      </c>
      <c r="J226" s="16"/>
      <c r="K226" s="16"/>
    </row>
    <row r="227" customFormat="false" ht="15" hidden="false" customHeight="false" outlineLevel="0" collapsed="false">
      <c r="A227" s="16"/>
      <c r="B227" s="16"/>
      <c r="C227" s="16"/>
      <c r="D227" s="16"/>
      <c r="E227" s="17"/>
      <c r="F227" s="17"/>
      <c r="G227" s="17"/>
      <c r="H227" s="16" t="str">
        <f aca="true">IF(E227="","",IF(G227&lt;&gt;"",G227-E227,TODAY()-E227))</f>
        <v/>
      </c>
      <c r="I227" s="16" t="str">
        <f aca="true">IF(AND(G227="",F227&lt;&gt;"",TODAY()&gt;F227),"OVERDUE","")</f>
        <v/>
      </c>
      <c r="J227" s="16"/>
      <c r="K227" s="16"/>
    </row>
    <row r="228" customFormat="false" ht="15" hidden="false" customHeight="false" outlineLevel="0" collapsed="false">
      <c r="A228" s="16"/>
      <c r="B228" s="16"/>
      <c r="C228" s="16"/>
      <c r="D228" s="16"/>
      <c r="E228" s="17"/>
      <c r="F228" s="17"/>
      <c r="G228" s="17"/>
      <c r="H228" s="16" t="str">
        <f aca="true">IF(E228="","",IF(G228&lt;&gt;"",G228-E228,TODAY()-E228))</f>
        <v/>
      </c>
      <c r="I228" s="16" t="str">
        <f aca="true">IF(AND(G228="",F228&lt;&gt;"",TODAY()&gt;F228),"OVERDUE","")</f>
        <v/>
      </c>
      <c r="J228" s="16"/>
      <c r="K228" s="16"/>
    </row>
    <row r="229" customFormat="false" ht="15" hidden="false" customHeight="false" outlineLevel="0" collapsed="false">
      <c r="A229" s="16"/>
      <c r="B229" s="16"/>
      <c r="C229" s="16"/>
      <c r="D229" s="16"/>
      <c r="E229" s="17"/>
      <c r="F229" s="17"/>
      <c r="G229" s="17"/>
      <c r="H229" s="16" t="str">
        <f aca="true">IF(E229="","",IF(G229&lt;&gt;"",G229-E229,TODAY()-E229))</f>
        <v/>
      </c>
      <c r="I229" s="16" t="str">
        <f aca="true">IF(AND(G229="",F229&lt;&gt;"",TODAY()&gt;F229),"OVERDUE","")</f>
        <v/>
      </c>
      <c r="J229" s="16"/>
      <c r="K229" s="16"/>
    </row>
    <row r="230" customFormat="false" ht="15" hidden="false" customHeight="false" outlineLevel="0" collapsed="false">
      <c r="A230" s="16"/>
      <c r="B230" s="16"/>
      <c r="C230" s="16"/>
      <c r="D230" s="16"/>
      <c r="E230" s="17"/>
      <c r="F230" s="17"/>
      <c r="G230" s="17"/>
      <c r="H230" s="16" t="str">
        <f aca="true">IF(E230="","",IF(G230&lt;&gt;"",G230-E230,TODAY()-E230))</f>
        <v/>
      </c>
      <c r="I230" s="16" t="str">
        <f aca="true">IF(AND(G230="",F230&lt;&gt;"",TODAY()&gt;F230),"OVERDUE","")</f>
        <v/>
      </c>
      <c r="J230" s="16"/>
      <c r="K230" s="16"/>
    </row>
    <row r="231" customFormat="false" ht="15" hidden="false" customHeight="false" outlineLevel="0" collapsed="false">
      <c r="A231" s="16"/>
      <c r="B231" s="16"/>
      <c r="C231" s="16"/>
      <c r="D231" s="16"/>
      <c r="E231" s="17"/>
      <c r="F231" s="17"/>
      <c r="G231" s="17"/>
      <c r="H231" s="16" t="str">
        <f aca="true">IF(E231="","",IF(G231&lt;&gt;"",G231-E231,TODAY()-E231))</f>
        <v/>
      </c>
      <c r="I231" s="16" t="str">
        <f aca="true">IF(AND(G231="",F231&lt;&gt;"",TODAY()&gt;F231),"OVERDUE","")</f>
        <v/>
      </c>
      <c r="J231" s="16"/>
      <c r="K231" s="16"/>
    </row>
    <row r="232" customFormat="false" ht="15" hidden="false" customHeight="false" outlineLevel="0" collapsed="false">
      <c r="A232" s="16"/>
      <c r="B232" s="16"/>
      <c r="C232" s="16"/>
      <c r="D232" s="16"/>
      <c r="E232" s="17"/>
      <c r="F232" s="17"/>
      <c r="G232" s="17"/>
      <c r="H232" s="16" t="str">
        <f aca="true">IF(E232="","",IF(G232&lt;&gt;"",G232-E232,TODAY()-E232))</f>
        <v/>
      </c>
      <c r="I232" s="16" t="str">
        <f aca="true">IF(AND(G232="",F232&lt;&gt;"",TODAY()&gt;F232),"OVERDUE","")</f>
        <v/>
      </c>
      <c r="J232" s="16"/>
      <c r="K232" s="16"/>
    </row>
    <row r="233" customFormat="false" ht="15" hidden="false" customHeight="false" outlineLevel="0" collapsed="false">
      <c r="A233" s="16"/>
      <c r="B233" s="16"/>
      <c r="C233" s="16"/>
      <c r="D233" s="16"/>
      <c r="E233" s="17"/>
      <c r="F233" s="17"/>
      <c r="G233" s="17"/>
      <c r="H233" s="16" t="str">
        <f aca="true">IF(E233="","",IF(G233&lt;&gt;"",G233-E233,TODAY()-E233))</f>
        <v/>
      </c>
      <c r="I233" s="16" t="str">
        <f aca="true">IF(AND(G233="",F233&lt;&gt;"",TODAY()&gt;F233),"OVERDUE","")</f>
        <v/>
      </c>
      <c r="J233" s="16"/>
      <c r="K233" s="16"/>
    </row>
    <row r="234" customFormat="false" ht="15" hidden="false" customHeight="false" outlineLevel="0" collapsed="false">
      <c r="A234" s="16"/>
      <c r="B234" s="16"/>
      <c r="C234" s="16"/>
      <c r="D234" s="16"/>
      <c r="E234" s="17"/>
      <c r="F234" s="17"/>
      <c r="G234" s="17"/>
      <c r="H234" s="16" t="str">
        <f aca="true">IF(E234="","",IF(G234&lt;&gt;"",G234-E234,TODAY()-E234))</f>
        <v/>
      </c>
      <c r="I234" s="16" t="str">
        <f aca="true">IF(AND(G234="",F234&lt;&gt;"",TODAY()&gt;F234),"OVERDUE","")</f>
        <v/>
      </c>
      <c r="J234" s="16"/>
      <c r="K234" s="16"/>
    </row>
    <row r="235" customFormat="false" ht="15" hidden="false" customHeight="false" outlineLevel="0" collapsed="false">
      <c r="A235" s="16"/>
      <c r="B235" s="16"/>
      <c r="C235" s="16"/>
      <c r="D235" s="16"/>
      <c r="E235" s="17"/>
      <c r="F235" s="17"/>
      <c r="G235" s="17"/>
      <c r="H235" s="16" t="str">
        <f aca="true">IF(E235="","",IF(G235&lt;&gt;"",G235-E235,TODAY()-E235))</f>
        <v/>
      </c>
      <c r="I235" s="16" t="str">
        <f aca="true">IF(AND(G235="",F235&lt;&gt;"",TODAY()&gt;F235),"OVERDUE","")</f>
        <v/>
      </c>
      <c r="J235" s="16"/>
      <c r="K235" s="16"/>
    </row>
    <row r="236" customFormat="false" ht="15" hidden="false" customHeight="false" outlineLevel="0" collapsed="false">
      <c r="A236" s="16"/>
      <c r="B236" s="16"/>
      <c r="C236" s="16"/>
      <c r="D236" s="16"/>
      <c r="E236" s="17"/>
      <c r="F236" s="17"/>
      <c r="G236" s="17"/>
      <c r="H236" s="16" t="str">
        <f aca="true">IF(E236="","",IF(G236&lt;&gt;"",G236-E236,TODAY()-E236))</f>
        <v/>
      </c>
      <c r="I236" s="16" t="str">
        <f aca="true">IF(AND(G236="",F236&lt;&gt;"",TODAY()&gt;F236),"OVERDUE","")</f>
        <v/>
      </c>
      <c r="J236" s="16"/>
      <c r="K236" s="16"/>
    </row>
    <row r="237" customFormat="false" ht="15" hidden="false" customHeight="false" outlineLevel="0" collapsed="false">
      <c r="A237" s="16"/>
      <c r="B237" s="16"/>
      <c r="C237" s="16"/>
      <c r="D237" s="16"/>
      <c r="E237" s="17"/>
      <c r="F237" s="17"/>
      <c r="G237" s="17"/>
      <c r="H237" s="16" t="str">
        <f aca="true">IF(E237="","",IF(G237&lt;&gt;"",G237-E237,TODAY()-E237))</f>
        <v/>
      </c>
      <c r="I237" s="16" t="str">
        <f aca="true">IF(AND(G237="",F237&lt;&gt;"",TODAY()&gt;F237),"OVERDUE","")</f>
        <v/>
      </c>
      <c r="J237" s="16"/>
      <c r="K237" s="16"/>
    </row>
    <row r="238" customFormat="false" ht="15" hidden="false" customHeight="false" outlineLevel="0" collapsed="false">
      <c r="A238" s="16"/>
      <c r="B238" s="16"/>
      <c r="C238" s="16"/>
      <c r="D238" s="16"/>
      <c r="E238" s="17"/>
      <c r="F238" s="17"/>
      <c r="G238" s="17"/>
      <c r="H238" s="16" t="str">
        <f aca="true">IF(E238="","",IF(G238&lt;&gt;"",G238-E238,TODAY()-E238))</f>
        <v/>
      </c>
      <c r="I238" s="16" t="str">
        <f aca="true">IF(AND(G238="",F238&lt;&gt;"",TODAY()&gt;F238),"OVERDUE","")</f>
        <v/>
      </c>
      <c r="J238" s="16"/>
      <c r="K238" s="16"/>
    </row>
    <row r="239" customFormat="false" ht="15" hidden="false" customHeight="false" outlineLevel="0" collapsed="false">
      <c r="A239" s="16"/>
      <c r="B239" s="16"/>
      <c r="C239" s="16"/>
      <c r="D239" s="16"/>
      <c r="E239" s="17"/>
      <c r="F239" s="17"/>
      <c r="G239" s="17"/>
      <c r="H239" s="16" t="str">
        <f aca="true">IF(E239="","",IF(G239&lt;&gt;"",G239-E239,TODAY()-E239))</f>
        <v/>
      </c>
      <c r="I239" s="16" t="str">
        <f aca="true">IF(AND(G239="",F239&lt;&gt;"",TODAY()&gt;F239),"OVERDUE","")</f>
        <v/>
      </c>
      <c r="J239" s="16"/>
      <c r="K239" s="16"/>
    </row>
    <row r="240" customFormat="false" ht="15" hidden="false" customHeight="false" outlineLevel="0" collapsed="false">
      <c r="A240" s="16"/>
      <c r="B240" s="16"/>
      <c r="C240" s="16"/>
      <c r="D240" s="16"/>
      <c r="E240" s="17"/>
      <c r="F240" s="17"/>
      <c r="G240" s="17"/>
      <c r="H240" s="16" t="str">
        <f aca="true">IF(E240="","",IF(G240&lt;&gt;"",G240-E240,TODAY()-E240))</f>
        <v/>
      </c>
      <c r="I240" s="16" t="str">
        <f aca="true">IF(AND(G240="",F240&lt;&gt;"",TODAY()&gt;F240),"OVERDUE","")</f>
        <v/>
      </c>
      <c r="J240" s="16"/>
      <c r="K240" s="16"/>
    </row>
    <row r="241" customFormat="false" ht="15" hidden="false" customHeight="false" outlineLevel="0" collapsed="false">
      <c r="A241" s="16"/>
      <c r="B241" s="16"/>
      <c r="C241" s="16"/>
      <c r="D241" s="16"/>
      <c r="E241" s="17"/>
      <c r="F241" s="17"/>
      <c r="G241" s="17"/>
      <c r="H241" s="16" t="str">
        <f aca="true">IF(E241="","",IF(G241&lt;&gt;"",G241-E241,TODAY()-E241))</f>
        <v/>
      </c>
      <c r="I241" s="16" t="str">
        <f aca="true">IF(AND(G241="",F241&lt;&gt;"",TODAY()&gt;F241),"OVERDUE","")</f>
        <v/>
      </c>
      <c r="J241" s="16"/>
      <c r="K241" s="16"/>
    </row>
    <row r="242" customFormat="false" ht="15" hidden="false" customHeight="false" outlineLevel="0" collapsed="false">
      <c r="A242" s="16"/>
      <c r="B242" s="16"/>
      <c r="C242" s="16"/>
      <c r="D242" s="16"/>
      <c r="E242" s="17"/>
      <c r="F242" s="17"/>
      <c r="G242" s="17"/>
      <c r="H242" s="16" t="str">
        <f aca="true">IF(E242="","",IF(G242&lt;&gt;"",G242-E242,TODAY()-E242))</f>
        <v/>
      </c>
      <c r="I242" s="16" t="str">
        <f aca="true">IF(AND(G242="",F242&lt;&gt;"",TODAY()&gt;F242),"OVERDUE","")</f>
        <v/>
      </c>
      <c r="J242" s="16"/>
      <c r="K242" s="16"/>
    </row>
    <row r="243" customFormat="false" ht="15" hidden="false" customHeight="false" outlineLevel="0" collapsed="false">
      <c r="A243" s="16"/>
      <c r="B243" s="16"/>
      <c r="C243" s="16"/>
      <c r="D243" s="16"/>
      <c r="E243" s="17"/>
      <c r="F243" s="17"/>
      <c r="G243" s="17"/>
      <c r="H243" s="16" t="str">
        <f aca="true">IF(E243="","",IF(G243&lt;&gt;"",G243-E243,TODAY()-E243))</f>
        <v/>
      </c>
      <c r="I243" s="16" t="str">
        <f aca="true">IF(AND(G243="",F243&lt;&gt;"",TODAY()&gt;F243),"OVERDUE","")</f>
        <v/>
      </c>
      <c r="J243" s="16"/>
      <c r="K243" s="16"/>
    </row>
    <row r="244" customFormat="false" ht="15" hidden="false" customHeight="false" outlineLevel="0" collapsed="false">
      <c r="A244" s="16"/>
      <c r="B244" s="16"/>
      <c r="C244" s="16"/>
      <c r="D244" s="16"/>
      <c r="E244" s="17"/>
      <c r="F244" s="17"/>
      <c r="G244" s="17"/>
      <c r="H244" s="16" t="str">
        <f aca="true">IF(E244="","",IF(G244&lt;&gt;"",G244-E244,TODAY()-E244))</f>
        <v/>
      </c>
      <c r="I244" s="16" t="str">
        <f aca="true">IF(AND(G244="",F244&lt;&gt;"",TODAY()&gt;F244),"OVERDUE","")</f>
        <v/>
      </c>
      <c r="J244" s="16"/>
      <c r="K244" s="16"/>
    </row>
    <row r="245" customFormat="false" ht="15" hidden="false" customHeight="false" outlineLevel="0" collapsed="false">
      <c r="A245" s="16"/>
      <c r="B245" s="16"/>
      <c r="C245" s="16"/>
      <c r="D245" s="16"/>
      <c r="E245" s="17"/>
      <c r="F245" s="17"/>
      <c r="G245" s="17"/>
      <c r="H245" s="16" t="str">
        <f aca="true">IF(E245="","",IF(G245&lt;&gt;"",G245-E245,TODAY()-E245))</f>
        <v/>
      </c>
      <c r="I245" s="16" t="str">
        <f aca="true">IF(AND(G245="",F245&lt;&gt;"",TODAY()&gt;F245),"OVERDUE","")</f>
        <v/>
      </c>
      <c r="J245" s="16"/>
      <c r="K245" s="16"/>
    </row>
    <row r="246" customFormat="false" ht="15" hidden="false" customHeight="false" outlineLevel="0" collapsed="false">
      <c r="A246" s="16"/>
      <c r="B246" s="16"/>
      <c r="C246" s="16"/>
      <c r="D246" s="16"/>
      <c r="E246" s="17"/>
      <c r="F246" s="17"/>
      <c r="G246" s="17"/>
      <c r="H246" s="16" t="str">
        <f aca="true">IF(E246="","",IF(G246&lt;&gt;"",G246-E246,TODAY()-E246))</f>
        <v/>
      </c>
      <c r="I246" s="16" t="str">
        <f aca="true">IF(AND(G246="",F246&lt;&gt;"",TODAY()&gt;F246),"OVERDUE","")</f>
        <v/>
      </c>
      <c r="J246" s="16"/>
      <c r="K246" s="16"/>
    </row>
    <row r="247" customFormat="false" ht="15" hidden="false" customHeight="false" outlineLevel="0" collapsed="false">
      <c r="A247" s="16"/>
      <c r="B247" s="16"/>
      <c r="C247" s="16"/>
      <c r="D247" s="16"/>
      <c r="E247" s="17"/>
      <c r="F247" s="17"/>
      <c r="G247" s="17"/>
      <c r="H247" s="16" t="str">
        <f aca="true">IF(E247="","",IF(G247&lt;&gt;"",G247-E247,TODAY()-E247))</f>
        <v/>
      </c>
      <c r="I247" s="16" t="str">
        <f aca="true">IF(AND(G247="",F247&lt;&gt;"",TODAY()&gt;F247),"OVERDUE","")</f>
        <v/>
      </c>
      <c r="J247" s="16"/>
      <c r="K247" s="16"/>
    </row>
    <row r="248" customFormat="false" ht="15" hidden="false" customHeight="false" outlineLevel="0" collapsed="false">
      <c r="A248" s="16"/>
      <c r="B248" s="16"/>
      <c r="C248" s="16"/>
      <c r="D248" s="16"/>
      <c r="E248" s="17"/>
      <c r="F248" s="17"/>
      <c r="G248" s="17"/>
      <c r="H248" s="16" t="str">
        <f aca="true">IF(E248="","",IF(G248&lt;&gt;"",G248-E248,TODAY()-E248))</f>
        <v/>
      </c>
      <c r="I248" s="16" t="str">
        <f aca="true">IF(AND(G248="",F248&lt;&gt;"",TODAY()&gt;F248),"OVERDUE","")</f>
        <v/>
      </c>
      <c r="J248" s="16"/>
      <c r="K248" s="16"/>
    </row>
    <row r="249" customFormat="false" ht="15" hidden="false" customHeight="false" outlineLevel="0" collapsed="false">
      <c r="A249" s="16"/>
      <c r="B249" s="16"/>
      <c r="C249" s="16"/>
      <c r="D249" s="16"/>
      <c r="E249" s="17"/>
      <c r="F249" s="17"/>
      <c r="G249" s="17"/>
      <c r="H249" s="16" t="str">
        <f aca="true">IF(E249="","",IF(G249&lt;&gt;"",G249-E249,TODAY()-E249))</f>
        <v/>
      </c>
      <c r="I249" s="16" t="str">
        <f aca="true">IF(AND(G249="",F249&lt;&gt;"",TODAY()&gt;F249),"OVERDUE","")</f>
        <v/>
      </c>
      <c r="J249" s="16"/>
      <c r="K249" s="16"/>
    </row>
    <row r="250" customFormat="false" ht="15" hidden="false" customHeight="false" outlineLevel="0" collapsed="false">
      <c r="A250" s="16"/>
      <c r="B250" s="16"/>
      <c r="C250" s="16"/>
      <c r="D250" s="16"/>
      <c r="E250" s="17"/>
      <c r="F250" s="17"/>
      <c r="G250" s="17"/>
      <c r="H250" s="16" t="str">
        <f aca="true">IF(E250="","",IF(G250&lt;&gt;"",G250-E250,TODAY()-E250))</f>
        <v/>
      </c>
      <c r="I250" s="16" t="str">
        <f aca="true">IF(AND(G250="",F250&lt;&gt;"",TODAY()&gt;F250),"OVERDUE","")</f>
        <v/>
      </c>
      <c r="J250" s="16"/>
      <c r="K250" s="16"/>
    </row>
    <row r="251" customFormat="false" ht="15" hidden="false" customHeight="false" outlineLevel="0" collapsed="false">
      <c r="A251" s="16"/>
      <c r="B251" s="16"/>
      <c r="C251" s="16"/>
      <c r="D251" s="16"/>
      <c r="E251" s="17"/>
      <c r="F251" s="17"/>
      <c r="G251" s="17"/>
      <c r="H251" s="16" t="str">
        <f aca="true">IF(E251="","",IF(G251&lt;&gt;"",G251-E251,TODAY()-E251))</f>
        <v/>
      </c>
      <c r="I251" s="16" t="str">
        <f aca="true">IF(AND(G251="",F251&lt;&gt;"",TODAY()&gt;F251),"OVERDUE","")</f>
        <v/>
      </c>
      <c r="J251" s="16"/>
      <c r="K251" s="16"/>
    </row>
    <row r="252" customFormat="false" ht="15" hidden="false" customHeight="false" outlineLevel="0" collapsed="false">
      <c r="A252" s="16"/>
      <c r="B252" s="16"/>
      <c r="C252" s="16"/>
      <c r="D252" s="16"/>
      <c r="E252" s="17"/>
      <c r="F252" s="17"/>
      <c r="G252" s="17"/>
      <c r="H252" s="16" t="str">
        <f aca="true">IF(E252="","",IF(G252&lt;&gt;"",G252-E252,TODAY()-E252))</f>
        <v/>
      </c>
      <c r="I252" s="16" t="str">
        <f aca="true">IF(AND(G252="",F252&lt;&gt;"",TODAY()&gt;F252),"OVERDUE","")</f>
        <v/>
      </c>
      <c r="J252" s="16"/>
      <c r="K252" s="16"/>
    </row>
    <row r="253" customFormat="false" ht="15" hidden="false" customHeight="false" outlineLevel="0" collapsed="false">
      <c r="A253" s="16"/>
      <c r="B253" s="16"/>
      <c r="C253" s="16"/>
      <c r="D253" s="16"/>
      <c r="E253" s="17"/>
      <c r="F253" s="17"/>
      <c r="G253" s="17"/>
      <c r="H253" s="16" t="str">
        <f aca="true">IF(E253="","",IF(G253&lt;&gt;"",G253-E253,TODAY()-E253))</f>
        <v/>
      </c>
      <c r="I253" s="16" t="str">
        <f aca="true">IF(AND(G253="",F253&lt;&gt;"",TODAY()&gt;F253),"OVERDUE","")</f>
        <v/>
      </c>
      <c r="J253" s="16"/>
      <c r="K253" s="16"/>
    </row>
    <row r="254" customFormat="false" ht="15" hidden="false" customHeight="false" outlineLevel="0" collapsed="false">
      <c r="A254" s="16"/>
      <c r="B254" s="16"/>
      <c r="C254" s="16"/>
      <c r="D254" s="16"/>
      <c r="E254" s="17"/>
      <c r="F254" s="17"/>
      <c r="G254" s="17"/>
      <c r="H254" s="16" t="str">
        <f aca="true">IF(E254="","",IF(G254&lt;&gt;"",G254-E254,TODAY()-E254))</f>
        <v/>
      </c>
      <c r="I254" s="16" t="str">
        <f aca="true">IF(AND(G254="",F254&lt;&gt;"",TODAY()&gt;F254),"OVERDUE","")</f>
        <v/>
      </c>
      <c r="J254" s="16"/>
      <c r="K254" s="16"/>
    </row>
    <row r="255" customFormat="false" ht="15" hidden="false" customHeight="false" outlineLevel="0" collapsed="false">
      <c r="A255" s="16"/>
      <c r="B255" s="16"/>
      <c r="C255" s="16"/>
      <c r="D255" s="16"/>
      <c r="E255" s="17"/>
      <c r="F255" s="17"/>
      <c r="G255" s="17"/>
      <c r="H255" s="16" t="str">
        <f aca="true">IF(E255="","",IF(G255&lt;&gt;"",G255-E255,TODAY()-E255))</f>
        <v/>
      </c>
      <c r="I255" s="16" t="str">
        <f aca="true">IF(AND(G255="",F255&lt;&gt;"",TODAY()&gt;F255),"OVERDUE","")</f>
        <v/>
      </c>
      <c r="J255" s="16"/>
      <c r="K255" s="16"/>
    </row>
    <row r="256" customFormat="false" ht="15" hidden="false" customHeight="false" outlineLevel="0" collapsed="false">
      <c r="A256" s="16"/>
      <c r="B256" s="16"/>
      <c r="C256" s="16"/>
      <c r="D256" s="16"/>
      <c r="E256" s="17"/>
      <c r="F256" s="17"/>
      <c r="G256" s="17"/>
      <c r="H256" s="16" t="str">
        <f aca="true">IF(E256="","",IF(G256&lt;&gt;"",G256-E256,TODAY()-E256))</f>
        <v/>
      </c>
      <c r="I256" s="16" t="str">
        <f aca="true">IF(AND(G256="",F256&lt;&gt;"",TODAY()&gt;F256),"OVERDUE","")</f>
        <v/>
      </c>
      <c r="J256" s="16"/>
      <c r="K256" s="16"/>
    </row>
    <row r="257" customFormat="false" ht="15" hidden="false" customHeight="false" outlineLevel="0" collapsed="false">
      <c r="A257" s="16"/>
      <c r="B257" s="16"/>
      <c r="C257" s="16"/>
      <c r="D257" s="16"/>
      <c r="E257" s="17"/>
      <c r="F257" s="17"/>
      <c r="G257" s="17"/>
      <c r="H257" s="16" t="str">
        <f aca="true">IF(E257="","",IF(G257&lt;&gt;"",G257-E257,TODAY()-E257))</f>
        <v/>
      </c>
      <c r="I257" s="16" t="str">
        <f aca="true">IF(AND(G257="",F257&lt;&gt;"",TODAY()&gt;F257),"OVERDUE","")</f>
        <v/>
      </c>
      <c r="J257" s="16"/>
      <c r="K257" s="16"/>
    </row>
    <row r="258" customFormat="false" ht="15" hidden="false" customHeight="false" outlineLevel="0" collapsed="false">
      <c r="A258" s="16"/>
      <c r="B258" s="16"/>
      <c r="C258" s="16"/>
      <c r="D258" s="16"/>
      <c r="E258" s="17"/>
      <c r="F258" s="17"/>
      <c r="G258" s="17"/>
      <c r="H258" s="16" t="str">
        <f aca="true">IF(E258="","",IF(G258&lt;&gt;"",G258-E258,TODAY()-E258))</f>
        <v/>
      </c>
      <c r="I258" s="16" t="str">
        <f aca="true">IF(AND(G258="",F258&lt;&gt;"",TODAY()&gt;F258),"OVERDUE","")</f>
        <v/>
      </c>
      <c r="J258" s="16"/>
      <c r="K258" s="16"/>
    </row>
    <row r="259" customFormat="false" ht="15" hidden="false" customHeight="false" outlineLevel="0" collapsed="false">
      <c r="A259" s="16"/>
      <c r="B259" s="16"/>
      <c r="C259" s="16"/>
      <c r="D259" s="16"/>
      <c r="E259" s="17"/>
      <c r="F259" s="17"/>
      <c r="G259" s="17"/>
      <c r="H259" s="16" t="str">
        <f aca="true">IF(E259="","",IF(G259&lt;&gt;"",G259-E259,TODAY()-E259))</f>
        <v/>
      </c>
      <c r="I259" s="16" t="str">
        <f aca="true">IF(AND(G259="",F259&lt;&gt;"",TODAY()&gt;F259),"OVERDUE","")</f>
        <v/>
      </c>
      <c r="J259" s="16"/>
      <c r="K259" s="16"/>
    </row>
    <row r="260" customFormat="false" ht="15" hidden="false" customHeight="false" outlineLevel="0" collapsed="false">
      <c r="A260" s="16"/>
      <c r="B260" s="16"/>
      <c r="C260" s="16"/>
      <c r="D260" s="16"/>
      <c r="E260" s="17"/>
      <c r="F260" s="17"/>
      <c r="G260" s="17"/>
      <c r="H260" s="16" t="str">
        <f aca="true">IF(E260="","",IF(G260&lt;&gt;"",G260-E260,TODAY()-E260))</f>
        <v/>
      </c>
      <c r="I260" s="16" t="str">
        <f aca="true">IF(AND(G260="",F260&lt;&gt;"",TODAY()&gt;F260),"OVERDUE","")</f>
        <v/>
      </c>
      <c r="J260" s="16"/>
      <c r="K260" s="16"/>
    </row>
    <row r="261" customFormat="false" ht="15" hidden="false" customHeight="false" outlineLevel="0" collapsed="false">
      <c r="A261" s="16"/>
      <c r="B261" s="16"/>
      <c r="C261" s="16"/>
      <c r="D261" s="16"/>
      <c r="E261" s="17"/>
      <c r="F261" s="17"/>
      <c r="G261" s="17"/>
      <c r="H261" s="16" t="str">
        <f aca="true">IF(E261="","",IF(G261&lt;&gt;"",G261-E261,TODAY()-E261))</f>
        <v/>
      </c>
      <c r="I261" s="16" t="str">
        <f aca="true">IF(AND(G261="",F261&lt;&gt;"",TODAY()&gt;F261),"OVERDUE","")</f>
        <v/>
      </c>
      <c r="J261" s="16"/>
      <c r="K261" s="16"/>
    </row>
    <row r="262" customFormat="false" ht="15" hidden="false" customHeight="false" outlineLevel="0" collapsed="false">
      <c r="A262" s="16"/>
      <c r="B262" s="16"/>
      <c r="C262" s="16"/>
      <c r="D262" s="16"/>
      <c r="E262" s="17"/>
      <c r="F262" s="17"/>
      <c r="G262" s="17"/>
      <c r="H262" s="16" t="str">
        <f aca="true">IF(E262="","",IF(G262&lt;&gt;"",G262-E262,TODAY()-E262))</f>
        <v/>
      </c>
      <c r="I262" s="16" t="str">
        <f aca="true">IF(AND(G262="",F262&lt;&gt;"",TODAY()&gt;F262),"OVERDUE","")</f>
        <v/>
      </c>
      <c r="J262" s="16"/>
      <c r="K262" s="16"/>
    </row>
    <row r="263" customFormat="false" ht="15" hidden="false" customHeight="false" outlineLevel="0" collapsed="false">
      <c r="A263" s="16"/>
      <c r="B263" s="16"/>
      <c r="C263" s="16"/>
      <c r="D263" s="16"/>
      <c r="E263" s="17"/>
      <c r="F263" s="17"/>
      <c r="G263" s="17"/>
      <c r="H263" s="16" t="str">
        <f aca="true">IF(E263="","",IF(G263&lt;&gt;"",G263-E263,TODAY()-E263))</f>
        <v/>
      </c>
      <c r="I263" s="16" t="str">
        <f aca="true">IF(AND(G263="",F263&lt;&gt;"",TODAY()&gt;F263),"OVERDUE","")</f>
        <v/>
      </c>
      <c r="J263" s="16"/>
      <c r="K263" s="16"/>
    </row>
    <row r="264" customFormat="false" ht="15" hidden="false" customHeight="false" outlineLevel="0" collapsed="false">
      <c r="A264" s="16"/>
      <c r="B264" s="16"/>
      <c r="C264" s="16"/>
      <c r="D264" s="16"/>
      <c r="E264" s="17"/>
      <c r="F264" s="17"/>
      <c r="G264" s="17"/>
      <c r="H264" s="16" t="str">
        <f aca="true">IF(E264="","",IF(G264&lt;&gt;"",G264-E264,TODAY()-E264))</f>
        <v/>
      </c>
      <c r="I264" s="16" t="str">
        <f aca="true">IF(AND(G264="",F264&lt;&gt;"",TODAY()&gt;F264),"OVERDUE","")</f>
        <v/>
      </c>
      <c r="J264" s="16"/>
      <c r="K264" s="16"/>
    </row>
    <row r="265" customFormat="false" ht="15" hidden="false" customHeight="false" outlineLevel="0" collapsed="false">
      <c r="A265" s="16"/>
      <c r="B265" s="16"/>
      <c r="C265" s="16"/>
      <c r="D265" s="16"/>
      <c r="E265" s="17"/>
      <c r="F265" s="17"/>
      <c r="G265" s="17"/>
      <c r="H265" s="16" t="str">
        <f aca="true">IF(E265="","",IF(G265&lt;&gt;"",G265-E265,TODAY()-E265))</f>
        <v/>
      </c>
      <c r="I265" s="16" t="str">
        <f aca="true">IF(AND(G265="",F265&lt;&gt;"",TODAY()&gt;F265),"OVERDUE","")</f>
        <v/>
      </c>
      <c r="J265" s="16"/>
      <c r="K265" s="16"/>
    </row>
    <row r="266" customFormat="false" ht="15" hidden="false" customHeight="false" outlineLevel="0" collapsed="false">
      <c r="A266" s="16"/>
      <c r="B266" s="16"/>
      <c r="C266" s="16"/>
      <c r="D266" s="16"/>
      <c r="E266" s="17"/>
      <c r="F266" s="17"/>
      <c r="G266" s="17"/>
      <c r="H266" s="16" t="str">
        <f aca="true">IF(E266="","",IF(G266&lt;&gt;"",G266-E266,TODAY()-E266))</f>
        <v/>
      </c>
      <c r="I266" s="16" t="str">
        <f aca="true">IF(AND(G266="",F266&lt;&gt;"",TODAY()&gt;F266),"OVERDUE","")</f>
        <v/>
      </c>
      <c r="J266" s="16"/>
      <c r="K266" s="16"/>
    </row>
    <row r="267" customFormat="false" ht="15" hidden="false" customHeight="false" outlineLevel="0" collapsed="false">
      <c r="A267" s="16"/>
      <c r="B267" s="16"/>
      <c r="C267" s="16"/>
      <c r="D267" s="16"/>
      <c r="E267" s="17"/>
      <c r="F267" s="17"/>
      <c r="G267" s="17"/>
      <c r="H267" s="16" t="str">
        <f aca="true">IF(E267="","",IF(G267&lt;&gt;"",G267-E267,TODAY()-E267))</f>
        <v/>
      </c>
      <c r="I267" s="16" t="str">
        <f aca="true">IF(AND(G267="",F267&lt;&gt;"",TODAY()&gt;F267),"OVERDUE","")</f>
        <v/>
      </c>
      <c r="J267" s="16"/>
      <c r="K267" s="16"/>
    </row>
    <row r="268" customFormat="false" ht="15" hidden="false" customHeight="false" outlineLevel="0" collapsed="false">
      <c r="A268" s="16"/>
      <c r="B268" s="16"/>
      <c r="C268" s="16"/>
      <c r="D268" s="16"/>
      <c r="E268" s="17"/>
      <c r="F268" s="17"/>
      <c r="G268" s="17"/>
      <c r="H268" s="16" t="str">
        <f aca="true">IF(E268="","",IF(G268&lt;&gt;"",G268-E268,TODAY()-E268))</f>
        <v/>
      </c>
      <c r="I268" s="16" t="str">
        <f aca="true">IF(AND(G268="",F268&lt;&gt;"",TODAY()&gt;F268),"OVERDUE","")</f>
        <v/>
      </c>
      <c r="J268" s="16"/>
      <c r="K268" s="16"/>
    </row>
    <row r="269" customFormat="false" ht="15" hidden="false" customHeight="false" outlineLevel="0" collapsed="false">
      <c r="A269" s="16"/>
      <c r="B269" s="16"/>
      <c r="C269" s="16"/>
      <c r="D269" s="16"/>
      <c r="E269" s="17"/>
      <c r="F269" s="17"/>
      <c r="G269" s="17"/>
      <c r="H269" s="16" t="str">
        <f aca="true">IF(E269="","",IF(G269&lt;&gt;"",G269-E269,TODAY()-E269))</f>
        <v/>
      </c>
      <c r="I269" s="16" t="str">
        <f aca="true">IF(AND(G269="",F269&lt;&gt;"",TODAY()&gt;F269),"OVERDUE","")</f>
        <v/>
      </c>
      <c r="J269" s="16"/>
      <c r="K269" s="16"/>
    </row>
    <row r="270" customFormat="false" ht="15" hidden="false" customHeight="false" outlineLevel="0" collapsed="false">
      <c r="A270" s="16"/>
      <c r="B270" s="16"/>
      <c r="C270" s="16"/>
      <c r="D270" s="16"/>
      <c r="E270" s="17"/>
      <c r="F270" s="17"/>
      <c r="G270" s="17"/>
      <c r="H270" s="16" t="str">
        <f aca="true">IF(E270="","",IF(G270&lt;&gt;"",G270-E270,TODAY()-E270))</f>
        <v/>
      </c>
      <c r="I270" s="16" t="str">
        <f aca="true">IF(AND(G270="",F270&lt;&gt;"",TODAY()&gt;F270),"OVERDUE","")</f>
        <v/>
      </c>
      <c r="J270" s="16"/>
      <c r="K270" s="16"/>
    </row>
    <row r="271" customFormat="false" ht="15" hidden="false" customHeight="false" outlineLevel="0" collapsed="false">
      <c r="A271" s="16"/>
      <c r="B271" s="16"/>
      <c r="C271" s="16"/>
      <c r="D271" s="16"/>
      <c r="E271" s="17"/>
      <c r="F271" s="17"/>
      <c r="G271" s="17"/>
      <c r="H271" s="16" t="str">
        <f aca="true">IF(E271="","",IF(G271&lt;&gt;"",G271-E271,TODAY()-E271))</f>
        <v/>
      </c>
      <c r="I271" s="16" t="str">
        <f aca="true">IF(AND(G271="",F271&lt;&gt;"",TODAY()&gt;F271),"OVERDUE","")</f>
        <v/>
      </c>
      <c r="J271" s="16"/>
      <c r="K271" s="16"/>
    </row>
    <row r="272" customFormat="false" ht="15" hidden="false" customHeight="false" outlineLevel="0" collapsed="false">
      <c r="A272" s="16"/>
      <c r="B272" s="16"/>
      <c r="C272" s="16"/>
      <c r="D272" s="16"/>
      <c r="E272" s="17"/>
      <c r="F272" s="17"/>
      <c r="G272" s="17"/>
      <c r="H272" s="16" t="str">
        <f aca="true">IF(E272="","",IF(G272&lt;&gt;"",G272-E272,TODAY()-E272))</f>
        <v/>
      </c>
      <c r="I272" s="16" t="str">
        <f aca="true">IF(AND(G272="",F272&lt;&gt;"",TODAY()&gt;F272),"OVERDUE","")</f>
        <v/>
      </c>
      <c r="J272" s="16"/>
      <c r="K272" s="16"/>
    </row>
    <row r="273" customFormat="false" ht="15" hidden="false" customHeight="false" outlineLevel="0" collapsed="false">
      <c r="A273" s="16"/>
      <c r="B273" s="16"/>
      <c r="C273" s="16"/>
      <c r="D273" s="16"/>
      <c r="E273" s="17"/>
      <c r="F273" s="17"/>
      <c r="G273" s="17"/>
      <c r="H273" s="16" t="str">
        <f aca="true">IF(E273="","",IF(G273&lt;&gt;"",G273-E273,TODAY()-E273))</f>
        <v/>
      </c>
      <c r="I273" s="16" t="str">
        <f aca="true">IF(AND(G273="",F273&lt;&gt;"",TODAY()&gt;F273),"OVERDUE","")</f>
        <v/>
      </c>
      <c r="J273" s="16"/>
      <c r="K273" s="16"/>
    </row>
    <row r="274" customFormat="false" ht="15" hidden="false" customHeight="false" outlineLevel="0" collapsed="false">
      <c r="A274" s="16"/>
      <c r="B274" s="16"/>
      <c r="C274" s="16"/>
      <c r="D274" s="16"/>
      <c r="E274" s="17"/>
      <c r="F274" s="17"/>
      <c r="G274" s="17"/>
      <c r="H274" s="16" t="str">
        <f aca="true">IF(E274="","",IF(G274&lt;&gt;"",G274-E274,TODAY()-E274))</f>
        <v/>
      </c>
      <c r="I274" s="16" t="str">
        <f aca="true">IF(AND(G274="",F274&lt;&gt;"",TODAY()&gt;F274),"OVERDUE","")</f>
        <v/>
      </c>
      <c r="J274" s="16"/>
      <c r="K274" s="16"/>
    </row>
    <row r="275" customFormat="false" ht="15" hidden="false" customHeight="false" outlineLevel="0" collapsed="false">
      <c r="A275" s="16"/>
      <c r="B275" s="16"/>
      <c r="C275" s="16"/>
      <c r="D275" s="16"/>
      <c r="E275" s="17"/>
      <c r="F275" s="17"/>
      <c r="G275" s="17"/>
      <c r="H275" s="16" t="str">
        <f aca="true">IF(E275="","",IF(G275&lt;&gt;"",G275-E275,TODAY()-E275))</f>
        <v/>
      </c>
      <c r="I275" s="16" t="str">
        <f aca="true">IF(AND(G275="",F275&lt;&gt;"",TODAY()&gt;F275),"OVERDUE","")</f>
        <v/>
      </c>
      <c r="J275" s="16"/>
      <c r="K275" s="16"/>
    </row>
    <row r="276" customFormat="false" ht="15" hidden="false" customHeight="false" outlineLevel="0" collapsed="false">
      <c r="A276" s="16"/>
      <c r="B276" s="16"/>
      <c r="C276" s="16"/>
      <c r="D276" s="16"/>
      <c r="E276" s="17"/>
      <c r="F276" s="17"/>
      <c r="G276" s="17"/>
      <c r="H276" s="16" t="str">
        <f aca="true">IF(E276="","",IF(G276&lt;&gt;"",G276-E276,TODAY()-E276))</f>
        <v/>
      </c>
      <c r="I276" s="16" t="str">
        <f aca="true">IF(AND(G276="",F276&lt;&gt;"",TODAY()&gt;F276),"OVERDUE","")</f>
        <v/>
      </c>
      <c r="J276" s="16"/>
      <c r="K276" s="16"/>
    </row>
    <row r="277" customFormat="false" ht="15" hidden="false" customHeight="false" outlineLevel="0" collapsed="false">
      <c r="A277" s="16"/>
      <c r="B277" s="16"/>
      <c r="C277" s="16"/>
      <c r="D277" s="16"/>
      <c r="E277" s="17"/>
      <c r="F277" s="17"/>
      <c r="G277" s="17"/>
      <c r="H277" s="16" t="str">
        <f aca="true">IF(E277="","",IF(G277&lt;&gt;"",G277-E277,TODAY()-E277))</f>
        <v/>
      </c>
      <c r="I277" s="16" t="str">
        <f aca="true">IF(AND(G277="",F277&lt;&gt;"",TODAY()&gt;F277),"OVERDUE","")</f>
        <v/>
      </c>
      <c r="J277" s="16"/>
      <c r="K277" s="16"/>
    </row>
    <row r="278" customFormat="false" ht="15" hidden="false" customHeight="false" outlineLevel="0" collapsed="false">
      <c r="A278" s="16"/>
      <c r="B278" s="16"/>
      <c r="C278" s="16"/>
      <c r="D278" s="16"/>
      <c r="E278" s="17"/>
      <c r="F278" s="17"/>
      <c r="G278" s="17"/>
      <c r="H278" s="16" t="str">
        <f aca="true">IF(E278="","",IF(G278&lt;&gt;"",G278-E278,TODAY()-E278))</f>
        <v/>
      </c>
      <c r="I278" s="16" t="str">
        <f aca="true">IF(AND(G278="",F278&lt;&gt;"",TODAY()&gt;F278),"OVERDUE","")</f>
        <v/>
      </c>
      <c r="J278" s="16"/>
      <c r="K278" s="16"/>
    </row>
    <row r="279" customFormat="false" ht="15" hidden="false" customHeight="false" outlineLevel="0" collapsed="false">
      <c r="A279" s="16"/>
      <c r="B279" s="16"/>
      <c r="C279" s="16"/>
      <c r="D279" s="16"/>
      <c r="E279" s="17"/>
      <c r="F279" s="17"/>
      <c r="G279" s="17"/>
      <c r="H279" s="16" t="str">
        <f aca="true">IF(E279="","",IF(G279&lt;&gt;"",G279-E279,TODAY()-E279))</f>
        <v/>
      </c>
      <c r="I279" s="16" t="str">
        <f aca="true">IF(AND(G279="",F279&lt;&gt;"",TODAY()&gt;F279),"OVERDUE","")</f>
        <v/>
      </c>
      <c r="J279" s="16"/>
      <c r="K279" s="16"/>
    </row>
    <row r="280" customFormat="false" ht="15" hidden="false" customHeight="false" outlineLevel="0" collapsed="false">
      <c r="A280" s="16"/>
      <c r="B280" s="16"/>
      <c r="C280" s="16"/>
      <c r="D280" s="16"/>
      <c r="E280" s="17"/>
      <c r="F280" s="17"/>
      <c r="G280" s="17"/>
      <c r="H280" s="16" t="str">
        <f aca="true">IF(E280="","",IF(G280&lt;&gt;"",G280-E280,TODAY()-E280))</f>
        <v/>
      </c>
      <c r="I280" s="16" t="str">
        <f aca="true">IF(AND(G280="",F280&lt;&gt;"",TODAY()&gt;F280),"OVERDUE","")</f>
        <v/>
      </c>
      <c r="J280" s="16"/>
      <c r="K280" s="16"/>
    </row>
    <row r="281" customFormat="false" ht="15" hidden="false" customHeight="false" outlineLevel="0" collapsed="false">
      <c r="A281" s="16"/>
      <c r="B281" s="16"/>
      <c r="C281" s="16"/>
      <c r="D281" s="16"/>
      <c r="E281" s="17"/>
      <c r="F281" s="17"/>
      <c r="G281" s="17"/>
      <c r="H281" s="16" t="str">
        <f aca="true">IF(E281="","",IF(G281&lt;&gt;"",G281-E281,TODAY()-E281))</f>
        <v/>
      </c>
      <c r="I281" s="16" t="str">
        <f aca="true">IF(AND(G281="",F281&lt;&gt;"",TODAY()&gt;F281),"OVERDUE","")</f>
        <v/>
      </c>
      <c r="J281" s="16"/>
      <c r="K281" s="16"/>
    </row>
    <row r="282" customFormat="false" ht="15" hidden="false" customHeight="false" outlineLevel="0" collapsed="false">
      <c r="A282" s="16"/>
      <c r="B282" s="16"/>
      <c r="C282" s="16"/>
      <c r="D282" s="16"/>
      <c r="E282" s="17"/>
      <c r="F282" s="17"/>
      <c r="G282" s="17"/>
      <c r="H282" s="16" t="str">
        <f aca="true">IF(E282="","",IF(G282&lt;&gt;"",G282-E282,TODAY()-E282))</f>
        <v/>
      </c>
      <c r="I282" s="16" t="str">
        <f aca="true">IF(AND(G282="",F282&lt;&gt;"",TODAY()&gt;F282),"OVERDUE","")</f>
        <v/>
      </c>
      <c r="J282" s="16"/>
      <c r="K282" s="16"/>
    </row>
    <row r="283" customFormat="false" ht="15" hidden="false" customHeight="false" outlineLevel="0" collapsed="false">
      <c r="A283" s="16"/>
      <c r="B283" s="16"/>
      <c r="C283" s="16"/>
      <c r="D283" s="16"/>
      <c r="E283" s="17"/>
      <c r="F283" s="17"/>
      <c r="G283" s="17"/>
      <c r="H283" s="16" t="str">
        <f aca="true">IF(E283="","",IF(G283&lt;&gt;"",G283-E283,TODAY()-E283))</f>
        <v/>
      </c>
      <c r="I283" s="16" t="str">
        <f aca="true">IF(AND(G283="",F283&lt;&gt;"",TODAY()&gt;F283),"OVERDUE","")</f>
        <v/>
      </c>
      <c r="J283" s="16"/>
      <c r="K283" s="16"/>
    </row>
    <row r="284" customFormat="false" ht="15" hidden="false" customHeight="false" outlineLevel="0" collapsed="false">
      <c r="A284" s="16"/>
      <c r="B284" s="16"/>
      <c r="C284" s="16"/>
      <c r="D284" s="16"/>
      <c r="E284" s="17"/>
      <c r="F284" s="17"/>
      <c r="G284" s="17"/>
      <c r="H284" s="16" t="str">
        <f aca="true">IF(E284="","",IF(G284&lt;&gt;"",G284-E284,TODAY()-E284))</f>
        <v/>
      </c>
      <c r="I284" s="16" t="str">
        <f aca="true">IF(AND(G284="",F284&lt;&gt;"",TODAY()&gt;F284),"OVERDUE","")</f>
        <v/>
      </c>
      <c r="J284" s="16"/>
      <c r="K284" s="16"/>
    </row>
    <row r="285" customFormat="false" ht="15" hidden="false" customHeight="false" outlineLevel="0" collapsed="false">
      <c r="A285" s="16"/>
      <c r="B285" s="16"/>
      <c r="C285" s="16"/>
      <c r="D285" s="16"/>
      <c r="E285" s="17"/>
      <c r="F285" s="17"/>
      <c r="G285" s="17"/>
      <c r="H285" s="16" t="str">
        <f aca="true">IF(E285="","",IF(G285&lt;&gt;"",G285-E285,TODAY()-E285))</f>
        <v/>
      </c>
      <c r="I285" s="16" t="str">
        <f aca="true">IF(AND(G285="",F285&lt;&gt;"",TODAY()&gt;F285),"OVERDUE","")</f>
        <v/>
      </c>
      <c r="J285" s="16"/>
      <c r="K285" s="16"/>
    </row>
    <row r="286" customFormat="false" ht="15" hidden="false" customHeight="false" outlineLevel="0" collapsed="false">
      <c r="A286" s="16"/>
      <c r="B286" s="16"/>
      <c r="C286" s="16"/>
      <c r="D286" s="16"/>
      <c r="E286" s="17"/>
      <c r="F286" s="17"/>
      <c r="G286" s="17"/>
      <c r="H286" s="16" t="str">
        <f aca="true">IF(E286="","",IF(G286&lt;&gt;"",G286-E286,TODAY()-E286))</f>
        <v/>
      </c>
      <c r="I286" s="16" t="str">
        <f aca="true">IF(AND(G286="",F286&lt;&gt;"",TODAY()&gt;F286),"OVERDUE","")</f>
        <v/>
      </c>
      <c r="J286" s="16"/>
      <c r="K286" s="16"/>
    </row>
    <row r="287" customFormat="false" ht="15" hidden="false" customHeight="false" outlineLevel="0" collapsed="false">
      <c r="A287" s="16"/>
      <c r="B287" s="16"/>
      <c r="C287" s="16"/>
      <c r="D287" s="16"/>
      <c r="E287" s="17"/>
      <c r="F287" s="17"/>
      <c r="G287" s="17"/>
      <c r="H287" s="16" t="str">
        <f aca="true">IF(E287="","",IF(G287&lt;&gt;"",G287-E287,TODAY()-E287))</f>
        <v/>
      </c>
      <c r="I287" s="16" t="str">
        <f aca="true">IF(AND(G287="",F287&lt;&gt;"",TODAY()&gt;F287),"OVERDUE","")</f>
        <v/>
      </c>
      <c r="J287" s="16"/>
      <c r="K287" s="16"/>
    </row>
    <row r="288" customFormat="false" ht="15" hidden="false" customHeight="false" outlineLevel="0" collapsed="false">
      <c r="A288" s="16"/>
      <c r="B288" s="16"/>
      <c r="C288" s="16"/>
      <c r="D288" s="16"/>
      <c r="E288" s="17"/>
      <c r="F288" s="17"/>
      <c r="G288" s="17"/>
      <c r="H288" s="16" t="str">
        <f aca="true">IF(E288="","",IF(G288&lt;&gt;"",G288-E288,TODAY()-E288))</f>
        <v/>
      </c>
      <c r="I288" s="16" t="str">
        <f aca="true">IF(AND(G288="",F288&lt;&gt;"",TODAY()&gt;F288),"OVERDUE","")</f>
        <v/>
      </c>
      <c r="J288" s="16"/>
      <c r="K288" s="16"/>
    </row>
    <row r="289" customFormat="false" ht="15" hidden="false" customHeight="false" outlineLevel="0" collapsed="false">
      <c r="A289" s="16"/>
      <c r="B289" s="16"/>
      <c r="C289" s="16"/>
      <c r="D289" s="16"/>
      <c r="E289" s="17"/>
      <c r="F289" s="17"/>
      <c r="G289" s="17"/>
      <c r="H289" s="16" t="str">
        <f aca="true">IF(E289="","",IF(G289&lt;&gt;"",G289-E289,TODAY()-E289))</f>
        <v/>
      </c>
      <c r="I289" s="16" t="str">
        <f aca="true">IF(AND(G289="",F289&lt;&gt;"",TODAY()&gt;F289),"OVERDUE","")</f>
        <v/>
      </c>
      <c r="J289" s="16"/>
      <c r="K289" s="16"/>
    </row>
    <row r="290" customFormat="false" ht="15" hidden="false" customHeight="false" outlineLevel="0" collapsed="false">
      <c r="A290" s="16"/>
      <c r="B290" s="16"/>
      <c r="C290" s="16"/>
      <c r="D290" s="16"/>
      <c r="E290" s="17"/>
      <c r="F290" s="17"/>
      <c r="G290" s="17"/>
      <c r="H290" s="16" t="str">
        <f aca="true">IF(E290="","",IF(G290&lt;&gt;"",G290-E290,TODAY()-E290))</f>
        <v/>
      </c>
      <c r="I290" s="16" t="str">
        <f aca="true">IF(AND(G290="",F290&lt;&gt;"",TODAY()&gt;F290),"OVERDUE","")</f>
        <v/>
      </c>
      <c r="J290" s="16"/>
      <c r="K290" s="16"/>
    </row>
    <row r="291" customFormat="false" ht="15" hidden="false" customHeight="false" outlineLevel="0" collapsed="false">
      <c r="A291" s="16"/>
      <c r="B291" s="16"/>
      <c r="C291" s="16"/>
      <c r="D291" s="16"/>
      <c r="E291" s="17"/>
      <c r="F291" s="17"/>
      <c r="G291" s="17"/>
      <c r="H291" s="16" t="str">
        <f aca="true">IF(E291="","",IF(G291&lt;&gt;"",G291-E291,TODAY()-E291))</f>
        <v/>
      </c>
      <c r="I291" s="16" t="str">
        <f aca="true">IF(AND(G291="",F291&lt;&gt;"",TODAY()&gt;F291),"OVERDUE","")</f>
        <v/>
      </c>
      <c r="J291" s="16"/>
      <c r="K291" s="16"/>
    </row>
    <row r="292" customFormat="false" ht="15" hidden="false" customHeight="false" outlineLevel="0" collapsed="false">
      <c r="A292" s="16"/>
      <c r="B292" s="16"/>
      <c r="C292" s="16"/>
      <c r="D292" s="16"/>
      <c r="E292" s="17"/>
      <c r="F292" s="17"/>
      <c r="G292" s="17"/>
      <c r="H292" s="16" t="str">
        <f aca="true">IF(E292="","",IF(G292&lt;&gt;"",G292-E292,TODAY()-E292))</f>
        <v/>
      </c>
      <c r="I292" s="16" t="str">
        <f aca="true">IF(AND(G292="",F292&lt;&gt;"",TODAY()&gt;F292),"OVERDUE","")</f>
        <v/>
      </c>
      <c r="J292" s="16"/>
      <c r="K292" s="16"/>
    </row>
    <row r="293" customFormat="false" ht="15" hidden="false" customHeight="false" outlineLevel="0" collapsed="false">
      <c r="A293" s="16"/>
      <c r="B293" s="16"/>
      <c r="C293" s="16"/>
      <c r="D293" s="16"/>
      <c r="E293" s="17"/>
      <c r="F293" s="17"/>
      <c r="G293" s="17"/>
      <c r="H293" s="16" t="str">
        <f aca="true">IF(E293="","",IF(G293&lt;&gt;"",G293-E293,TODAY()-E293))</f>
        <v/>
      </c>
      <c r="I293" s="16" t="str">
        <f aca="true">IF(AND(G293="",F293&lt;&gt;"",TODAY()&gt;F293),"OVERDUE","")</f>
        <v/>
      </c>
      <c r="J293" s="16"/>
      <c r="K293" s="16"/>
    </row>
    <row r="294" customFormat="false" ht="15" hidden="false" customHeight="false" outlineLevel="0" collapsed="false">
      <c r="A294" s="16"/>
      <c r="B294" s="16"/>
      <c r="C294" s="16"/>
      <c r="D294" s="16"/>
      <c r="E294" s="17"/>
      <c r="F294" s="17"/>
      <c r="G294" s="17"/>
      <c r="H294" s="16" t="str">
        <f aca="true">IF(E294="","",IF(G294&lt;&gt;"",G294-E294,TODAY()-E294))</f>
        <v/>
      </c>
      <c r="I294" s="16" t="str">
        <f aca="true">IF(AND(G294="",F294&lt;&gt;"",TODAY()&gt;F294),"OVERDUE","")</f>
        <v/>
      </c>
      <c r="J294" s="16"/>
      <c r="K294" s="16"/>
    </row>
    <row r="295" customFormat="false" ht="15" hidden="false" customHeight="false" outlineLevel="0" collapsed="false">
      <c r="A295" s="16"/>
      <c r="B295" s="16"/>
      <c r="C295" s="16"/>
      <c r="D295" s="16"/>
      <c r="E295" s="17"/>
      <c r="F295" s="17"/>
      <c r="G295" s="17"/>
      <c r="H295" s="16" t="str">
        <f aca="true">IF(E295="","",IF(G295&lt;&gt;"",G295-E295,TODAY()-E295))</f>
        <v/>
      </c>
      <c r="I295" s="16" t="str">
        <f aca="true">IF(AND(G295="",F295&lt;&gt;"",TODAY()&gt;F295),"OVERDUE","")</f>
        <v/>
      </c>
      <c r="J295" s="16"/>
      <c r="K295" s="16"/>
    </row>
    <row r="296" customFormat="false" ht="15" hidden="false" customHeight="false" outlineLevel="0" collapsed="false">
      <c r="A296" s="16"/>
      <c r="B296" s="16"/>
      <c r="C296" s="16"/>
      <c r="D296" s="16"/>
      <c r="E296" s="17"/>
      <c r="F296" s="17"/>
      <c r="G296" s="17"/>
      <c r="H296" s="16" t="str">
        <f aca="true">IF(E296="","",IF(G296&lt;&gt;"",G296-E296,TODAY()-E296))</f>
        <v/>
      </c>
      <c r="I296" s="16" t="str">
        <f aca="true">IF(AND(G296="",F296&lt;&gt;"",TODAY()&gt;F296),"OVERDUE","")</f>
        <v/>
      </c>
      <c r="J296" s="16"/>
      <c r="K296" s="16"/>
    </row>
    <row r="297" customFormat="false" ht="15" hidden="false" customHeight="false" outlineLevel="0" collapsed="false">
      <c r="A297" s="16"/>
      <c r="B297" s="16"/>
      <c r="C297" s="16"/>
      <c r="D297" s="16"/>
      <c r="E297" s="17"/>
      <c r="F297" s="17"/>
      <c r="G297" s="17"/>
      <c r="H297" s="16" t="str">
        <f aca="true">IF(E297="","",IF(G297&lt;&gt;"",G297-E297,TODAY()-E297))</f>
        <v/>
      </c>
      <c r="I297" s="16" t="str">
        <f aca="true">IF(AND(G297="",F297&lt;&gt;"",TODAY()&gt;F297),"OVERDUE","")</f>
        <v/>
      </c>
      <c r="J297" s="16"/>
      <c r="K297" s="16"/>
    </row>
    <row r="298" customFormat="false" ht="15" hidden="false" customHeight="false" outlineLevel="0" collapsed="false">
      <c r="A298" s="16"/>
      <c r="B298" s="16"/>
      <c r="C298" s="16"/>
      <c r="D298" s="16"/>
      <c r="E298" s="17"/>
      <c r="F298" s="17"/>
      <c r="G298" s="17"/>
      <c r="H298" s="16" t="str">
        <f aca="true">IF(E298="","",IF(G298&lt;&gt;"",G298-E298,TODAY()-E298))</f>
        <v/>
      </c>
      <c r="I298" s="16" t="str">
        <f aca="true">IF(AND(G298="",F298&lt;&gt;"",TODAY()&gt;F298),"OVERDUE","")</f>
        <v/>
      </c>
      <c r="J298" s="16"/>
      <c r="K298" s="16"/>
    </row>
    <row r="299" customFormat="false" ht="15" hidden="false" customHeight="false" outlineLevel="0" collapsed="false">
      <c r="A299" s="16"/>
      <c r="B299" s="16"/>
      <c r="C299" s="16"/>
      <c r="D299" s="16"/>
      <c r="E299" s="17"/>
      <c r="F299" s="17"/>
      <c r="G299" s="17"/>
      <c r="H299" s="16" t="str">
        <f aca="true">IF(E299="","",IF(G299&lt;&gt;"",G299-E299,TODAY()-E299))</f>
        <v/>
      </c>
      <c r="I299" s="16" t="str">
        <f aca="true">IF(AND(G299="",F299&lt;&gt;"",TODAY()&gt;F299),"OVERDUE","")</f>
        <v/>
      </c>
      <c r="J299" s="16"/>
      <c r="K299" s="16"/>
    </row>
    <row r="300" customFormat="false" ht="15" hidden="false" customHeight="false" outlineLevel="0" collapsed="false">
      <c r="A300" s="16"/>
      <c r="B300" s="16"/>
      <c r="C300" s="16"/>
      <c r="D300" s="16"/>
      <c r="E300" s="17"/>
      <c r="F300" s="17"/>
      <c r="G300" s="17"/>
      <c r="H300" s="16" t="str">
        <f aca="true">IF(E300="","",IF(G300&lt;&gt;"",G300-E300,TODAY()-E300))</f>
        <v/>
      </c>
      <c r="I300" s="16" t="str">
        <f aca="true">IF(AND(G300="",F300&lt;&gt;"",TODAY()&gt;F300),"OVERDUE","")</f>
        <v/>
      </c>
      <c r="J300" s="16"/>
      <c r="K300" s="16"/>
    </row>
    <row r="301" customFormat="false" ht="15" hidden="false" customHeight="false" outlineLevel="0" collapsed="false">
      <c r="A301" s="16"/>
      <c r="B301" s="16"/>
      <c r="C301" s="16"/>
      <c r="D301" s="16"/>
      <c r="E301" s="17"/>
      <c r="F301" s="17"/>
      <c r="G301" s="17"/>
      <c r="H301" s="16" t="str">
        <f aca="true">IF(E301="","",IF(G301&lt;&gt;"",G301-E301,TODAY()-E301))</f>
        <v/>
      </c>
      <c r="I301" s="16" t="str">
        <f aca="true">IF(AND(G301="",F301&lt;&gt;"",TODAY()&gt;F301),"OVERDUE","")</f>
        <v/>
      </c>
      <c r="J301" s="16"/>
      <c r="K301" s="16"/>
    </row>
  </sheetData>
  <autoFilter ref="A1:K301"/>
  <dataValidations count="3">
    <dataValidation allowBlank="true" error="Please choose an item from the dropdown list." errorStyle="stop" errorTitle="Invalid entry" operator="between" showDropDown="false" showErrorMessage="false" showInputMessage="false" sqref="A2:A301" type="list">
      <formula1>'Job List'!$A$2:$A$16</formula1>
      <formula2>0</formula2>
    </dataValidation>
    <dataValidation allowBlank="true" error="Please choose an item from the dropdown list." errorStyle="stop" errorTitle="Invalid entry" operator="between" showDropDown="false" showErrorMessage="false" showInputMessage="false" sqref="D2:D301" type="list">
      <formula1>"OFA,AAN,OFS,IFC,Released,Rejected"</formula1>
      <formula2>0</formula2>
    </dataValidation>
    <dataValidation allowBlank="true" error="Please choose an item from the dropdown list." errorStyle="stop" errorTitle="Invalid entry" operator="between" showDropDown="false" showErrorMessage="false" showInputMessage="false" sqref="J2:J301" type="list">
      <formula1>"Pending,Returned,Revise and Resubmit,Approved,Released to Fab"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38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7" t="s">
        <v>27</v>
      </c>
      <c r="B1" s="7" t="s">
        <v>28</v>
      </c>
      <c r="C1" s="7" t="s">
        <v>85</v>
      </c>
      <c r="D1" s="7" t="s">
        <v>86</v>
      </c>
      <c r="E1" s="7" t="s">
        <v>71</v>
      </c>
      <c r="F1" s="7" t="s">
        <v>87</v>
      </c>
      <c r="G1" s="7" t="s">
        <v>75</v>
      </c>
      <c r="H1" s="7" t="s">
        <v>88</v>
      </c>
      <c r="I1" s="7" t="s">
        <v>89</v>
      </c>
      <c r="J1" s="7" t="s">
        <v>90</v>
      </c>
      <c r="K1" s="7" t="s">
        <v>79</v>
      </c>
    </row>
    <row r="2" customFormat="false" ht="15" hidden="false" customHeight="false" outlineLevel="0" collapsed="false">
      <c r="A2" s="16"/>
      <c r="B2" s="16"/>
      <c r="C2" s="16"/>
      <c r="D2" s="16"/>
      <c r="E2" s="17"/>
      <c r="F2" s="17"/>
      <c r="G2" s="16"/>
      <c r="H2" s="18"/>
      <c r="I2" s="16"/>
      <c r="J2" s="16" t="str">
        <f aca="true">IF(E2="","",IF(F2&lt;&gt;"",F2-E2,TODAY()-E2))</f>
        <v/>
      </c>
      <c r="K2" s="16"/>
    </row>
    <row r="3" customFormat="false" ht="15" hidden="false" customHeight="false" outlineLevel="0" collapsed="false">
      <c r="A3" s="16"/>
      <c r="B3" s="16"/>
      <c r="C3" s="16"/>
      <c r="D3" s="16"/>
      <c r="E3" s="17"/>
      <c r="F3" s="17"/>
      <c r="G3" s="16"/>
      <c r="H3" s="18"/>
      <c r="I3" s="16"/>
      <c r="J3" s="16" t="str">
        <f aca="true">IF(E3="","",IF(F3&lt;&gt;"",F3-E3,TODAY()-E3))</f>
        <v/>
      </c>
      <c r="K3" s="16"/>
    </row>
    <row r="4" customFormat="false" ht="15" hidden="false" customHeight="false" outlineLevel="0" collapsed="false">
      <c r="A4" s="16"/>
      <c r="B4" s="16"/>
      <c r="C4" s="16"/>
      <c r="D4" s="16"/>
      <c r="E4" s="17"/>
      <c r="F4" s="17"/>
      <c r="G4" s="16"/>
      <c r="H4" s="18"/>
      <c r="I4" s="16"/>
      <c r="J4" s="16" t="str">
        <f aca="true">IF(E4="","",IF(F4&lt;&gt;"",F4-E4,TODAY()-E4))</f>
        <v/>
      </c>
      <c r="K4" s="16"/>
    </row>
    <row r="5" customFormat="false" ht="15" hidden="false" customHeight="false" outlineLevel="0" collapsed="false">
      <c r="A5" s="16"/>
      <c r="B5" s="16"/>
      <c r="C5" s="16"/>
      <c r="D5" s="16"/>
      <c r="E5" s="17"/>
      <c r="F5" s="17"/>
      <c r="G5" s="16"/>
      <c r="H5" s="18"/>
      <c r="I5" s="16"/>
      <c r="J5" s="16" t="str">
        <f aca="true">IF(E5="","",IF(F5&lt;&gt;"",F5-E5,TODAY()-E5))</f>
        <v/>
      </c>
      <c r="K5" s="16"/>
    </row>
    <row r="6" customFormat="false" ht="15" hidden="false" customHeight="false" outlineLevel="0" collapsed="false">
      <c r="A6" s="16"/>
      <c r="B6" s="16"/>
      <c r="C6" s="16"/>
      <c r="D6" s="16"/>
      <c r="E6" s="17"/>
      <c r="F6" s="17"/>
      <c r="G6" s="16"/>
      <c r="H6" s="18"/>
      <c r="I6" s="16"/>
      <c r="J6" s="16" t="str">
        <f aca="true">IF(E6="","",IF(F6&lt;&gt;"",F6-E6,TODAY()-E6))</f>
        <v/>
      </c>
      <c r="K6" s="16"/>
    </row>
    <row r="7" customFormat="false" ht="15" hidden="false" customHeight="false" outlineLevel="0" collapsed="false">
      <c r="A7" s="16"/>
      <c r="B7" s="16"/>
      <c r="C7" s="16"/>
      <c r="D7" s="16"/>
      <c r="E7" s="17"/>
      <c r="F7" s="17"/>
      <c r="G7" s="16"/>
      <c r="H7" s="18"/>
      <c r="I7" s="16"/>
      <c r="J7" s="16" t="str">
        <f aca="true">IF(E7="","",IF(F7&lt;&gt;"",F7-E7,TODAY()-E7))</f>
        <v/>
      </c>
      <c r="K7" s="16"/>
    </row>
    <row r="8" customFormat="false" ht="15" hidden="false" customHeight="false" outlineLevel="0" collapsed="false">
      <c r="A8" s="16"/>
      <c r="B8" s="16"/>
      <c r="C8" s="16"/>
      <c r="D8" s="16"/>
      <c r="E8" s="17"/>
      <c r="F8" s="17"/>
      <c r="G8" s="16"/>
      <c r="H8" s="18"/>
      <c r="I8" s="16"/>
      <c r="J8" s="16" t="str">
        <f aca="true">IF(E8="","",IF(F8&lt;&gt;"",F8-E8,TODAY()-E8))</f>
        <v/>
      </c>
      <c r="K8" s="16"/>
    </row>
    <row r="9" customFormat="false" ht="15" hidden="false" customHeight="false" outlineLevel="0" collapsed="false">
      <c r="A9" s="16"/>
      <c r="B9" s="16"/>
      <c r="C9" s="16"/>
      <c r="D9" s="16"/>
      <c r="E9" s="17"/>
      <c r="F9" s="17"/>
      <c r="G9" s="16"/>
      <c r="H9" s="18"/>
      <c r="I9" s="16"/>
      <c r="J9" s="16" t="str">
        <f aca="true">IF(E9="","",IF(F9&lt;&gt;"",F9-E9,TODAY()-E9))</f>
        <v/>
      </c>
      <c r="K9" s="16"/>
    </row>
    <row r="10" customFormat="false" ht="15" hidden="false" customHeight="false" outlineLevel="0" collapsed="false">
      <c r="A10" s="16"/>
      <c r="B10" s="16"/>
      <c r="C10" s="16"/>
      <c r="D10" s="16"/>
      <c r="E10" s="17"/>
      <c r="F10" s="17"/>
      <c r="G10" s="16"/>
      <c r="H10" s="18"/>
      <c r="I10" s="16"/>
      <c r="J10" s="16" t="str">
        <f aca="true">IF(E10="","",IF(F10&lt;&gt;"",F10-E10,TODAY()-E10))</f>
        <v/>
      </c>
      <c r="K10" s="16"/>
    </row>
    <row r="11" customFormat="false" ht="15" hidden="false" customHeight="false" outlineLevel="0" collapsed="false">
      <c r="A11" s="16"/>
      <c r="B11" s="16"/>
      <c r="C11" s="16"/>
      <c r="D11" s="16"/>
      <c r="E11" s="17"/>
      <c r="F11" s="17"/>
      <c r="G11" s="16"/>
      <c r="H11" s="18"/>
      <c r="I11" s="16"/>
      <c r="J11" s="16" t="str">
        <f aca="true">IF(E11="","",IF(F11&lt;&gt;"",F11-E11,TODAY()-E11))</f>
        <v/>
      </c>
      <c r="K11" s="16"/>
    </row>
    <row r="12" customFormat="false" ht="15" hidden="false" customHeight="false" outlineLevel="0" collapsed="false">
      <c r="A12" s="16"/>
      <c r="B12" s="16"/>
      <c r="C12" s="16"/>
      <c r="D12" s="16"/>
      <c r="E12" s="17"/>
      <c r="F12" s="17"/>
      <c r="G12" s="16"/>
      <c r="H12" s="18"/>
      <c r="I12" s="16"/>
      <c r="J12" s="16" t="str">
        <f aca="true">IF(E12="","",IF(F12&lt;&gt;"",F12-E12,TODAY()-E12))</f>
        <v/>
      </c>
      <c r="K12" s="16"/>
    </row>
    <row r="13" customFormat="false" ht="15" hidden="false" customHeight="false" outlineLevel="0" collapsed="false">
      <c r="A13" s="16"/>
      <c r="B13" s="16"/>
      <c r="C13" s="16"/>
      <c r="D13" s="16"/>
      <c r="E13" s="17"/>
      <c r="F13" s="17"/>
      <c r="G13" s="16"/>
      <c r="H13" s="18"/>
      <c r="I13" s="16"/>
      <c r="J13" s="16" t="str">
        <f aca="true">IF(E13="","",IF(F13&lt;&gt;"",F13-E13,TODAY()-E13))</f>
        <v/>
      </c>
      <c r="K13" s="16"/>
    </row>
    <row r="14" customFormat="false" ht="15" hidden="false" customHeight="false" outlineLevel="0" collapsed="false">
      <c r="A14" s="16"/>
      <c r="B14" s="16"/>
      <c r="C14" s="16"/>
      <c r="D14" s="16"/>
      <c r="E14" s="17"/>
      <c r="F14" s="17"/>
      <c r="G14" s="16"/>
      <c r="H14" s="18"/>
      <c r="I14" s="16"/>
      <c r="J14" s="16" t="str">
        <f aca="true">IF(E14="","",IF(F14&lt;&gt;"",F14-E14,TODAY()-E14))</f>
        <v/>
      </c>
      <c r="K14" s="16"/>
    </row>
    <row r="15" customFormat="false" ht="15" hidden="false" customHeight="false" outlineLevel="0" collapsed="false">
      <c r="A15" s="16"/>
      <c r="B15" s="16"/>
      <c r="C15" s="16"/>
      <c r="D15" s="16"/>
      <c r="E15" s="17"/>
      <c r="F15" s="17"/>
      <c r="G15" s="16"/>
      <c r="H15" s="18"/>
      <c r="I15" s="16"/>
      <c r="J15" s="16" t="str">
        <f aca="true">IF(E15="","",IF(F15&lt;&gt;"",F15-E15,TODAY()-E15))</f>
        <v/>
      </c>
      <c r="K15" s="16"/>
    </row>
    <row r="16" customFormat="false" ht="15" hidden="false" customHeight="false" outlineLevel="0" collapsed="false">
      <c r="A16" s="16"/>
      <c r="B16" s="16"/>
      <c r="C16" s="16"/>
      <c r="D16" s="16"/>
      <c r="E16" s="17"/>
      <c r="F16" s="17"/>
      <c r="G16" s="16"/>
      <c r="H16" s="18"/>
      <c r="I16" s="16"/>
      <c r="J16" s="16" t="str">
        <f aca="true">IF(E16="","",IF(F16&lt;&gt;"",F16-E16,TODAY()-E16))</f>
        <v/>
      </c>
      <c r="K16" s="16"/>
    </row>
    <row r="17" customFormat="false" ht="15" hidden="false" customHeight="false" outlineLevel="0" collapsed="false">
      <c r="A17" s="16"/>
      <c r="B17" s="16"/>
      <c r="C17" s="16"/>
      <c r="D17" s="16"/>
      <c r="E17" s="17"/>
      <c r="F17" s="17"/>
      <c r="G17" s="16"/>
      <c r="H17" s="18"/>
      <c r="I17" s="16"/>
      <c r="J17" s="16" t="str">
        <f aca="true">IF(E17="","",IF(F17&lt;&gt;"",F17-E17,TODAY()-E17))</f>
        <v/>
      </c>
      <c r="K17" s="16"/>
    </row>
    <row r="18" customFormat="false" ht="15" hidden="false" customHeight="false" outlineLevel="0" collapsed="false">
      <c r="A18" s="16"/>
      <c r="B18" s="16"/>
      <c r="C18" s="16"/>
      <c r="D18" s="16"/>
      <c r="E18" s="17"/>
      <c r="F18" s="17"/>
      <c r="G18" s="16"/>
      <c r="H18" s="18"/>
      <c r="I18" s="16"/>
      <c r="J18" s="16" t="str">
        <f aca="true">IF(E18="","",IF(F18&lt;&gt;"",F18-E18,TODAY()-E18))</f>
        <v/>
      </c>
      <c r="K18" s="16"/>
    </row>
    <row r="19" customFormat="false" ht="15" hidden="false" customHeight="false" outlineLevel="0" collapsed="false">
      <c r="A19" s="16"/>
      <c r="B19" s="16"/>
      <c r="C19" s="16"/>
      <c r="D19" s="16"/>
      <c r="E19" s="17"/>
      <c r="F19" s="17"/>
      <c r="G19" s="16"/>
      <c r="H19" s="18"/>
      <c r="I19" s="16"/>
      <c r="J19" s="16" t="str">
        <f aca="true">IF(E19="","",IF(F19&lt;&gt;"",F19-E19,TODAY()-E19))</f>
        <v/>
      </c>
      <c r="K19" s="16"/>
    </row>
    <row r="20" customFormat="false" ht="15" hidden="false" customHeight="false" outlineLevel="0" collapsed="false">
      <c r="A20" s="16"/>
      <c r="B20" s="16"/>
      <c r="C20" s="16"/>
      <c r="D20" s="16"/>
      <c r="E20" s="17"/>
      <c r="F20" s="17"/>
      <c r="G20" s="16"/>
      <c r="H20" s="18"/>
      <c r="I20" s="16"/>
      <c r="J20" s="16" t="str">
        <f aca="true">IF(E20="","",IF(F20&lt;&gt;"",F20-E20,TODAY()-E20))</f>
        <v/>
      </c>
      <c r="K20" s="16"/>
    </row>
    <row r="21" customFormat="false" ht="15" hidden="false" customHeight="false" outlineLevel="0" collapsed="false">
      <c r="A21" s="16"/>
      <c r="B21" s="16"/>
      <c r="C21" s="16"/>
      <c r="D21" s="16"/>
      <c r="E21" s="17"/>
      <c r="F21" s="17"/>
      <c r="G21" s="16"/>
      <c r="H21" s="18"/>
      <c r="I21" s="16"/>
      <c r="J21" s="16" t="str">
        <f aca="true">IF(E21="","",IF(F21&lt;&gt;"",F21-E21,TODAY()-E21))</f>
        <v/>
      </c>
      <c r="K21" s="16"/>
    </row>
    <row r="22" customFormat="false" ht="15" hidden="false" customHeight="false" outlineLevel="0" collapsed="false">
      <c r="A22" s="16"/>
      <c r="B22" s="16"/>
      <c r="C22" s="16"/>
      <c r="D22" s="16"/>
      <c r="E22" s="17"/>
      <c r="F22" s="17"/>
      <c r="G22" s="16"/>
      <c r="H22" s="18"/>
      <c r="I22" s="16"/>
      <c r="J22" s="16" t="str">
        <f aca="true">IF(E22="","",IF(F22&lt;&gt;"",F22-E22,TODAY()-E22))</f>
        <v/>
      </c>
      <c r="K22" s="16"/>
    </row>
    <row r="23" customFormat="false" ht="15" hidden="false" customHeight="false" outlineLevel="0" collapsed="false">
      <c r="A23" s="16"/>
      <c r="B23" s="16"/>
      <c r="C23" s="16"/>
      <c r="D23" s="16"/>
      <c r="E23" s="17"/>
      <c r="F23" s="17"/>
      <c r="G23" s="16"/>
      <c r="H23" s="18"/>
      <c r="I23" s="16"/>
      <c r="J23" s="16" t="str">
        <f aca="true">IF(E23="","",IF(F23&lt;&gt;"",F23-E23,TODAY()-E23))</f>
        <v/>
      </c>
      <c r="K23" s="16"/>
    </row>
    <row r="24" customFormat="false" ht="15" hidden="false" customHeight="false" outlineLevel="0" collapsed="false">
      <c r="A24" s="16"/>
      <c r="B24" s="16"/>
      <c r="C24" s="16"/>
      <c r="D24" s="16"/>
      <c r="E24" s="17"/>
      <c r="F24" s="17"/>
      <c r="G24" s="16"/>
      <c r="H24" s="18"/>
      <c r="I24" s="16"/>
      <c r="J24" s="16" t="str">
        <f aca="true">IF(E24="","",IF(F24&lt;&gt;"",F24-E24,TODAY()-E24))</f>
        <v/>
      </c>
      <c r="K24" s="16"/>
    </row>
    <row r="25" customFormat="false" ht="15" hidden="false" customHeight="false" outlineLevel="0" collapsed="false">
      <c r="A25" s="16"/>
      <c r="B25" s="16"/>
      <c r="C25" s="16"/>
      <c r="D25" s="16"/>
      <c r="E25" s="17"/>
      <c r="F25" s="17"/>
      <c r="G25" s="16"/>
      <c r="H25" s="18"/>
      <c r="I25" s="16"/>
      <c r="J25" s="16" t="str">
        <f aca="true">IF(E25="","",IF(F25&lt;&gt;"",F25-E25,TODAY()-E25))</f>
        <v/>
      </c>
      <c r="K25" s="16"/>
    </row>
    <row r="26" customFormat="false" ht="15" hidden="false" customHeight="false" outlineLevel="0" collapsed="false">
      <c r="A26" s="16"/>
      <c r="B26" s="16"/>
      <c r="C26" s="16"/>
      <c r="D26" s="16"/>
      <c r="E26" s="17"/>
      <c r="F26" s="17"/>
      <c r="G26" s="16"/>
      <c r="H26" s="18"/>
      <c r="I26" s="16"/>
      <c r="J26" s="16" t="str">
        <f aca="true">IF(E26="","",IF(F26&lt;&gt;"",F26-E26,TODAY()-E26))</f>
        <v/>
      </c>
      <c r="K26" s="16"/>
    </row>
    <row r="27" customFormat="false" ht="15" hidden="false" customHeight="false" outlineLevel="0" collapsed="false">
      <c r="A27" s="16"/>
      <c r="B27" s="16"/>
      <c r="C27" s="16"/>
      <c r="D27" s="16"/>
      <c r="E27" s="17"/>
      <c r="F27" s="17"/>
      <c r="G27" s="16"/>
      <c r="H27" s="18"/>
      <c r="I27" s="16"/>
      <c r="J27" s="16" t="str">
        <f aca="true">IF(E27="","",IF(F27&lt;&gt;"",F27-E27,TODAY()-E27))</f>
        <v/>
      </c>
      <c r="K27" s="16"/>
    </row>
    <row r="28" customFormat="false" ht="15" hidden="false" customHeight="false" outlineLevel="0" collapsed="false">
      <c r="A28" s="16"/>
      <c r="B28" s="16"/>
      <c r="C28" s="16"/>
      <c r="D28" s="16"/>
      <c r="E28" s="17"/>
      <c r="F28" s="17"/>
      <c r="G28" s="16"/>
      <c r="H28" s="18"/>
      <c r="I28" s="16"/>
      <c r="J28" s="16" t="str">
        <f aca="true">IF(E28="","",IF(F28&lt;&gt;"",F28-E28,TODAY()-E28))</f>
        <v/>
      </c>
      <c r="K28" s="16"/>
    </row>
    <row r="29" customFormat="false" ht="15" hidden="false" customHeight="false" outlineLevel="0" collapsed="false">
      <c r="A29" s="16"/>
      <c r="B29" s="16"/>
      <c r="C29" s="16"/>
      <c r="D29" s="16"/>
      <c r="E29" s="17"/>
      <c r="F29" s="17"/>
      <c r="G29" s="16"/>
      <c r="H29" s="18"/>
      <c r="I29" s="16"/>
      <c r="J29" s="16" t="str">
        <f aca="true">IF(E29="","",IF(F29&lt;&gt;"",F29-E29,TODAY()-E29))</f>
        <v/>
      </c>
      <c r="K29" s="16"/>
    </row>
    <row r="30" customFormat="false" ht="15" hidden="false" customHeight="false" outlineLevel="0" collapsed="false">
      <c r="A30" s="16"/>
      <c r="B30" s="16"/>
      <c r="C30" s="16"/>
      <c r="D30" s="16"/>
      <c r="E30" s="17"/>
      <c r="F30" s="17"/>
      <c r="G30" s="16"/>
      <c r="H30" s="18"/>
      <c r="I30" s="16"/>
      <c r="J30" s="16" t="str">
        <f aca="true">IF(E30="","",IF(F30&lt;&gt;"",F30-E30,TODAY()-E30))</f>
        <v/>
      </c>
      <c r="K30" s="16"/>
    </row>
    <row r="31" customFormat="false" ht="15" hidden="false" customHeight="false" outlineLevel="0" collapsed="false">
      <c r="A31" s="16"/>
      <c r="B31" s="16"/>
      <c r="C31" s="16"/>
      <c r="D31" s="16"/>
      <c r="E31" s="17"/>
      <c r="F31" s="17"/>
      <c r="G31" s="16"/>
      <c r="H31" s="18"/>
      <c r="I31" s="16"/>
      <c r="J31" s="16" t="str">
        <f aca="true">IF(E31="","",IF(F31&lt;&gt;"",F31-E31,TODAY()-E31))</f>
        <v/>
      </c>
      <c r="K31" s="16"/>
    </row>
    <row r="32" customFormat="false" ht="15" hidden="false" customHeight="false" outlineLevel="0" collapsed="false">
      <c r="A32" s="16"/>
      <c r="B32" s="16"/>
      <c r="C32" s="16"/>
      <c r="D32" s="16"/>
      <c r="E32" s="17"/>
      <c r="F32" s="17"/>
      <c r="G32" s="16"/>
      <c r="H32" s="18"/>
      <c r="I32" s="16"/>
      <c r="J32" s="16" t="str">
        <f aca="true">IF(E32="","",IF(F32&lt;&gt;"",F32-E32,TODAY()-E32))</f>
        <v/>
      </c>
      <c r="K32" s="16"/>
    </row>
    <row r="33" customFormat="false" ht="15" hidden="false" customHeight="false" outlineLevel="0" collapsed="false">
      <c r="A33" s="16"/>
      <c r="B33" s="16"/>
      <c r="C33" s="16"/>
      <c r="D33" s="16"/>
      <c r="E33" s="17"/>
      <c r="F33" s="17"/>
      <c r="G33" s="16"/>
      <c r="H33" s="18"/>
      <c r="I33" s="16"/>
      <c r="J33" s="16" t="str">
        <f aca="true">IF(E33="","",IF(F33&lt;&gt;"",F33-E33,TODAY()-E33))</f>
        <v/>
      </c>
      <c r="K33" s="16"/>
    </row>
    <row r="34" customFormat="false" ht="15" hidden="false" customHeight="false" outlineLevel="0" collapsed="false">
      <c r="A34" s="16"/>
      <c r="B34" s="16"/>
      <c r="C34" s="16"/>
      <c r="D34" s="16"/>
      <c r="E34" s="17"/>
      <c r="F34" s="17"/>
      <c r="G34" s="16"/>
      <c r="H34" s="18"/>
      <c r="I34" s="16"/>
      <c r="J34" s="16" t="str">
        <f aca="true">IF(E34="","",IF(F34&lt;&gt;"",F34-E34,TODAY()-E34))</f>
        <v/>
      </c>
      <c r="K34" s="16"/>
    </row>
    <row r="35" customFormat="false" ht="15" hidden="false" customHeight="false" outlineLevel="0" collapsed="false">
      <c r="A35" s="16"/>
      <c r="B35" s="16"/>
      <c r="C35" s="16"/>
      <c r="D35" s="16"/>
      <c r="E35" s="17"/>
      <c r="F35" s="17"/>
      <c r="G35" s="16"/>
      <c r="H35" s="18"/>
      <c r="I35" s="16"/>
      <c r="J35" s="16" t="str">
        <f aca="true">IF(E35="","",IF(F35&lt;&gt;"",F35-E35,TODAY()-E35))</f>
        <v/>
      </c>
      <c r="K35" s="16"/>
    </row>
    <row r="36" customFormat="false" ht="15" hidden="false" customHeight="false" outlineLevel="0" collapsed="false">
      <c r="A36" s="16"/>
      <c r="B36" s="16"/>
      <c r="C36" s="16"/>
      <c r="D36" s="16"/>
      <c r="E36" s="17"/>
      <c r="F36" s="17"/>
      <c r="G36" s="16"/>
      <c r="H36" s="18"/>
      <c r="I36" s="16"/>
      <c r="J36" s="16" t="str">
        <f aca="true">IF(E36="","",IF(F36&lt;&gt;"",F36-E36,TODAY()-E36))</f>
        <v/>
      </c>
      <c r="K36" s="16"/>
    </row>
    <row r="37" customFormat="false" ht="15" hidden="false" customHeight="false" outlineLevel="0" collapsed="false">
      <c r="A37" s="16"/>
      <c r="B37" s="16"/>
      <c r="C37" s="16"/>
      <c r="D37" s="16"/>
      <c r="E37" s="17"/>
      <c r="F37" s="17"/>
      <c r="G37" s="16"/>
      <c r="H37" s="18"/>
      <c r="I37" s="16"/>
      <c r="J37" s="16" t="str">
        <f aca="true">IF(E37="","",IF(F37&lt;&gt;"",F37-E37,TODAY()-E37))</f>
        <v/>
      </c>
      <c r="K37" s="16"/>
    </row>
    <row r="38" customFormat="false" ht="15" hidden="false" customHeight="false" outlineLevel="0" collapsed="false">
      <c r="A38" s="16"/>
      <c r="B38" s="16"/>
      <c r="C38" s="16"/>
      <c r="D38" s="16"/>
      <c r="E38" s="17"/>
      <c r="F38" s="17"/>
      <c r="G38" s="16"/>
      <c r="H38" s="18"/>
      <c r="I38" s="16"/>
      <c r="J38" s="16" t="str">
        <f aca="true">IF(E38="","",IF(F38&lt;&gt;"",F38-E38,TODAY()-E38))</f>
        <v/>
      </c>
      <c r="K38" s="16"/>
    </row>
    <row r="39" customFormat="false" ht="15" hidden="false" customHeight="false" outlineLevel="0" collapsed="false">
      <c r="A39" s="16"/>
      <c r="B39" s="16"/>
      <c r="C39" s="16"/>
      <c r="D39" s="16"/>
      <c r="E39" s="17"/>
      <c r="F39" s="17"/>
      <c r="G39" s="16"/>
      <c r="H39" s="18"/>
      <c r="I39" s="16"/>
      <c r="J39" s="16" t="str">
        <f aca="true">IF(E39="","",IF(F39&lt;&gt;"",F39-E39,TODAY()-E39))</f>
        <v/>
      </c>
      <c r="K39" s="16"/>
    </row>
    <row r="40" customFormat="false" ht="15" hidden="false" customHeight="false" outlineLevel="0" collapsed="false">
      <c r="A40" s="16"/>
      <c r="B40" s="16"/>
      <c r="C40" s="16"/>
      <c r="D40" s="16"/>
      <c r="E40" s="17"/>
      <c r="F40" s="17"/>
      <c r="G40" s="16"/>
      <c r="H40" s="18"/>
      <c r="I40" s="16"/>
      <c r="J40" s="16" t="str">
        <f aca="true">IF(E40="","",IF(F40&lt;&gt;"",F40-E40,TODAY()-E40))</f>
        <v/>
      </c>
      <c r="K40" s="16"/>
    </row>
    <row r="41" customFormat="false" ht="15" hidden="false" customHeight="false" outlineLevel="0" collapsed="false">
      <c r="A41" s="16"/>
      <c r="B41" s="16"/>
      <c r="C41" s="16"/>
      <c r="D41" s="16"/>
      <c r="E41" s="17"/>
      <c r="F41" s="17"/>
      <c r="G41" s="16"/>
      <c r="H41" s="18"/>
      <c r="I41" s="16"/>
      <c r="J41" s="16" t="str">
        <f aca="true">IF(E41="","",IF(F41&lt;&gt;"",F41-E41,TODAY()-E41))</f>
        <v/>
      </c>
      <c r="K41" s="16"/>
    </row>
    <row r="42" customFormat="false" ht="15" hidden="false" customHeight="false" outlineLevel="0" collapsed="false">
      <c r="A42" s="16"/>
      <c r="B42" s="16"/>
      <c r="C42" s="16"/>
      <c r="D42" s="16"/>
      <c r="E42" s="17"/>
      <c r="F42" s="17"/>
      <c r="G42" s="16"/>
      <c r="H42" s="18"/>
      <c r="I42" s="16"/>
      <c r="J42" s="16" t="str">
        <f aca="true">IF(E42="","",IF(F42&lt;&gt;"",F42-E42,TODAY()-E42))</f>
        <v/>
      </c>
      <c r="K42" s="16"/>
    </row>
    <row r="43" customFormat="false" ht="15" hidden="false" customHeight="false" outlineLevel="0" collapsed="false">
      <c r="A43" s="16"/>
      <c r="B43" s="16"/>
      <c r="C43" s="16"/>
      <c r="D43" s="16"/>
      <c r="E43" s="17"/>
      <c r="F43" s="17"/>
      <c r="G43" s="16"/>
      <c r="H43" s="18"/>
      <c r="I43" s="16"/>
      <c r="J43" s="16" t="str">
        <f aca="true">IF(E43="","",IF(F43&lt;&gt;"",F43-E43,TODAY()-E43))</f>
        <v/>
      </c>
      <c r="K43" s="16"/>
    </row>
    <row r="44" customFormat="false" ht="15" hidden="false" customHeight="false" outlineLevel="0" collapsed="false">
      <c r="A44" s="16"/>
      <c r="B44" s="16"/>
      <c r="C44" s="16"/>
      <c r="D44" s="16"/>
      <c r="E44" s="17"/>
      <c r="F44" s="17"/>
      <c r="G44" s="16"/>
      <c r="H44" s="18"/>
      <c r="I44" s="16"/>
      <c r="J44" s="16" t="str">
        <f aca="true">IF(E44="","",IF(F44&lt;&gt;"",F44-E44,TODAY()-E44))</f>
        <v/>
      </c>
      <c r="K44" s="16"/>
    </row>
    <row r="45" customFormat="false" ht="15" hidden="false" customHeight="false" outlineLevel="0" collapsed="false">
      <c r="A45" s="16"/>
      <c r="B45" s="16"/>
      <c r="C45" s="16"/>
      <c r="D45" s="16"/>
      <c r="E45" s="17"/>
      <c r="F45" s="17"/>
      <c r="G45" s="16"/>
      <c r="H45" s="18"/>
      <c r="I45" s="16"/>
      <c r="J45" s="16" t="str">
        <f aca="true">IF(E45="","",IF(F45&lt;&gt;"",F45-E45,TODAY()-E45))</f>
        <v/>
      </c>
      <c r="K45" s="16"/>
    </row>
    <row r="46" customFormat="false" ht="15" hidden="false" customHeight="false" outlineLevel="0" collapsed="false">
      <c r="A46" s="16"/>
      <c r="B46" s="16"/>
      <c r="C46" s="16"/>
      <c r="D46" s="16"/>
      <c r="E46" s="17"/>
      <c r="F46" s="17"/>
      <c r="G46" s="16"/>
      <c r="H46" s="18"/>
      <c r="I46" s="16"/>
      <c r="J46" s="16" t="str">
        <f aca="true">IF(E46="","",IF(F46&lt;&gt;"",F46-E46,TODAY()-E46))</f>
        <v/>
      </c>
      <c r="K46" s="16"/>
    </row>
    <row r="47" customFormat="false" ht="15" hidden="false" customHeight="false" outlineLevel="0" collapsed="false">
      <c r="A47" s="16"/>
      <c r="B47" s="16"/>
      <c r="C47" s="16"/>
      <c r="D47" s="16"/>
      <c r="E47" s="17"/>
      <c r="F47" s="17"/>
      <c r="G47" s="16"/>
      <c r="H47" s="18"/>
      <c r="I47" s="16"/>
      <c r="J47" s="16" t="str">
        <f aca="true">IF(E47="","",IF(F47&lt;&gt;"",F47-E47,TODAY()-E47))</f>
        <v/>
      </c>
      <c r="K47" s="16"/>
    </row>
    <row r="48" customFormat="false" ht="15" hidden="false" customHeight="false" outlineLevel="0" collapsed="false">
      <c r="A48" s="16"/>
      <c r="B48" s="16"/>
      <c r="C48" s="16"/>
      <c r="D48" s="16"/>
      <c r="E48" s="17"/>
      <c r="F48" s="17"/>
      <c r="G48" s="16"/>
      <c r="H48" s="18"/>
      <c r="I48" s="16"/>
      <c r="J48" s="16" t="str">
        <f aca="true">IF(E48="","",IF(F48&lt;&gt;"",F48-E48,TODAY()-E48))</f>
        <v/>
      </c>
      <c r="K48" s="16"/>
    </row>
    <row r="49" customFormat="false" ht="15" hidden="false" customHeight="false" outlineLevel="0" collapsed="false">
      <c r="A49" s="16"/>
      <c r="B49" s="16"/>
      <c r="C49" s="16"/>
      <c r="D49" s="16"/>
      <c r="E49" s="17"/>
      <c r="F49" s="17"/>
      <c r="G49" s="16"/>
      <c r="H49" s="18"/>
      <c r="I49" s="16"/>
      <c r="J49" s="16" t="str">
        <f aca="true">IF(E49="","",IF(F49&lt;&gt;"",F49-E49,TODAY()-E49))</f>
        <v/>
      </c>
      <c r="K49" s="16"/>
    </row>
    <row r="50" customFormat="false" ht="15" hidden="false" customHeight="false" outlineLevel="0" collapsed="false">
      <c r="A50" s="16"/>
      <c r="B50" s="16"/>
      <c r="C50" s="16"/>
      <c r="D50" s="16"/>
      <c r="E50" s="17"/>
      <c r="F50" s="17"/>
      <c r="G50" s="16"/>
      <c r="H50" s="18"/>
      <c r="I50" s="16"/>
      <c r="J50" s="16" t="str">
        <f aca="true">IF(E50="","",IF(F50&lt;&gt;"",F50-E50,TODAY()-E50))</f>
        <v/>
      </c>
      <c r="K50" s="16"/>
    </row>
    <row r="51" customFormat="false" ht="15" hidden="false" customHeight="false" outlineLevel="0" collapsed="false">
      <c r="A51" s="16"/>
      <c r="B51" s="16"/>
      <c r="C51" s="16"/>
      <c r="D51" s="16"/>
      <c r="E51" s="17"/>
      <c r="F51" s="17"/>
      <c r="G51" s="16"/>
      <c r="H51" s="18"/>
      <c r="I51" s="16"/>
      <c r="J51" s="16" t="str">
        <f aca="true">IF(E51="","",IF(F51&lt;&gt;"",F51-E51,TODAY()-E51))</f>
        <v/>
      </c>
      <c r="K51" s="16"/>
    </row>
    <row r="52" customFormat="false" ht="15" hidden="false" customHeight="false" outlineLevel="0" collapsed="false">
      <c r="A52" s="16"/>
      <c r="B52" s="16"/>
      <c r="C52" s="16"/>
      <c r="D52" s="16"/>
      <c r="E52" s="17"/>
      <c r="F52" s="17"/>
      <c r="G52" s="16"/>
      <c r="H52" s="18"/>
      <c r="I52" s="16"/>
      <c r="J52" s="16" t="str">
        <f aca="true">IF(E52="","",IF(F52&lt;&gt;"",F52-E52,TODAY()-E52))</f>
        <v/>
      </c>
      <c r="K52" s="16"/>
    </row>
    <row r="53" customFormat="false" ht="15" hidden="false" customHeight="false" outlineLevel="0" collapsed="false">
      <c r="A53" s="16"/>
      <c r="B53" s="16"/>
      <c r="C53" s="16"/>
      <c r="D53" s="16"/>
      <c r="E53" s="17"/>
      <c r="F53" s="17"/>
      <c r="G53" s="16"/>
      <c r="H53" s="18"/>
      <c r="I53" s="16"/>
      <c r="J53" s="16" t="str">
        <f aca="true">IF(E53="","",IF(F53&lt;&gt;"",F53-E53,TODAY()-E53))</f>
        <v/>
      </c>
      <c r="K53" s="16"/>
    </row>
    <row r="54" customFormat="false" ht="15" hidden="false" customHeight="false" outlineLevel="0" collapsed="false">
      <c r="A54" s="16"/>
      <c r="B54" s="16"/>
      <c r="C54" s="16"/>
      <c r="D54" s="16"/>
      <c r="E54" s="17"/>
      <c r="F54" s="17"/>
      <c r="G54" s="16"/>
      <c r="H54" s="18"/>
      <c r="I54" s="16"/>
      <c r="J54" s="16" t="str">
        <f aca="true">IF(E54="","",IF(F54&lt;&gt;"",F54-E54,TODAY()-E54))</f>
        <v/>
      </c>
      <c r="K54" s="16"/>
    </row>
    <row r="55" customFormat="false" ht="15" hidden="false" customHeight="false" outlineLevel="0" collapsed="false">
      <c r="A55" s="16"/>
      <c r="B55" s="16"/>
      <c r="C55" s="16"/>
      <c r="D55" s="16"/>
      <c r="E55" s="17"/>
      <c r="F55" s="17"/>
      <c r="G55" s="16"/>
      <c r="H55" s="18"/>
      <c r="I55" s="16"/>
      <c r="J55" s="16" t="str">
        <f aca="true">IF(E55="","",IF(F55&lt;&gt;"",F55-E55,TODAY()-E55))</f>
        <v/>
      </c>
      <c r="K55" s="16"/>
    </row>
    <row r="56" customFormat="false" ht="15" hidden="false" customHeight="false" outlineLevel="0" collapsed="false">
      <c r="A56" s="16"/>
      <c r="B56" s="16"/>
      <c r="C56" s="16"/>
      <c r="D56" s="16"/>
      <c r="E56" s="17"/>
      <c r="F56" s="17"/>
      <c r="G56" s="16"/>
      <c r="H56" s="18"/>
      <c r="I56" s="16"/>
      <c r="J56" s="16" t="str">
        <f aca="true">IF(E56="","",IF(F56&lt;&gt;"",F56-E56,TODAY()-E56))</f>
        <v/>
      </c>
      <c r="K56" s="16"/>
    </row>
    <row r="57" customFormat="false" ht="15" hidden="false" customHeight="false" outlineLevel="0" collapsed="false">
      <c r="A57" s="16"/>
      <c r="B57" s="16"/>
      <c r="C57" s="16"/>
      <c r="D57" s="16"/>
      <c r="E57" s="17"/>
      <c r="F57" s="17"/>
      <c r="G57" s="16"/>
      <c r="H57" s="18"/>
      <c r="I57" s="16"/>
      <c r="J57" s="16" t="str">
        <f aca="true">IF(E57="","",IF(F57&lt;&gt;"",F57-E57,TODAY()-E57))</f>
        <v/>
      </c>
      <c r="K57" s="16"/>
    </row>
    <row r="58" customFormat="false" ht="15" hidden="false" customHeight="false" outlineLevel="0" collapsed="false">
      <c r="A58" s="16"/>
      <c r="B58" s="16"/>
      <c r="C58" s="16"/>
      <c r="D58" s="16"/>
      <c r="E58" s="17"/>
      <c r="F58" s="17"/>
      <c r="G58" s="16"/>
      <c r="H58" s="18"/>
      <c r="I58" s="16"/>
      <c r="J58" s="16" t="str">
        <f aca="true">IF(E58="","",IF(F58&lt;&gt;"",F58-E58,TODAY()-E58))</f>
        <v/>
      </c>
      <c r="K58" s="16"/>
    </row>
    <row r="59" customFormat="false" ht="15" hidden="false" customHeight="false" outlineLevel="0" collapsed="false">
      <c r="A59" s="16"/>
      <c r="B59" s="16"/>
      <c r="C59" s="16"/>
      <c r="D59" s="16"/>
      <c r="E59" s="17"/>
      <c r="F59" s="17"/>
      <c r="G59" s="16"/>
      <c r="H59" s="18"/>
      <c r="I59" s="16"/>
      <c r="J59" s="16" t="str">
        <f aca="true">IF(E59="","",IF(F59&lt;&gt;"",F59-E59,TODAY()-E59))</f>
        <v/>
      </c>
      <c r="K59" s="16"/>
    </row>
    <row r="60" customFormat="false" ht="15" hidden="false" customHeight="false" outlineLevel="0" collapsed="false">
      <c r="A60" s="16"/>
      <c r="B60" s="16"/>
      <c r="C60" s="16"/>
      <c r="D60" s="16"/>
      <c r="E60" s="17"/>
      <c r="F60" s="17"/>
      <c r="G60" s="16"/>
      <c r="H60" s="18"/>
      <c r="I60" s="16"/>
      <c r="J60" s="16" t="str">
        <f aca="true">IF(E60="","",IF(F60&lt;&gt;"",F60-E60,TODAY()-E60))</f>
        <v/>
      </c>
      <c r="K60" s="16"/>
    </row>
    <row r="61" customFormat="false" ht="15" hidden="false" customHeight="false" outlineLevel="0" collapsed="false">
      <c r="A61" s="16"/>
      <c r="B61" s="16"/>
      <c r="C61" s="16"/>
      <c r="D61" s="16"/>
      <c r="E61" s="17"/>
      <c r="F61" s="17"/>
      <c r="G61" s="16"/>
      <c r="H61" s="18"/>
      <c r="I61" s="16"/>
      <c r="J61" s="16" t="str">
        <f aca="true">IF(E61="","",IF(F61&lt;&gt;"",F61-E61,TODAY()-E61))</f>
        <v/>
      </c>
      <c r="K61" s="16"/>
    </row>
    <row r="62" customFormat="false" ht="15" hidden="false" customHeight="false" outlineLevel="0" collapsed="false">
      <c r="A62" s="16"/>
      <c r="B62" s="16"/>
      <c r="C62" s="16"/>
      <c r="D62" s="16"/>
      <c r="E62" s="17"/>
      <c r="F62" s="17"/>
      <c r="G62" s="16"/>
      <c r="H62" s="18"/>
      <c r="I62" s="16"/>
      <c r="J62" s="16" t="str">
        <f aca="true">IF(E62="","",IF(F62&lt;&gt;"",F62-E62,TODAY()-E62))</f>
        <v/>
      </c>
      <c r="K62" s="16"/>
    </row>
    <row r="63" customFormat="false" ht="15" hidden="false" customHeight="false" outlineLevel="0" collapsed="false">
      <c r="A63" s="16"/>
      <c r="B63" s="16"/>
      <c r="C63" s="16"/>
      <c r="D63" s="16"/>
      <c r="E63" s="17"/>
      <c r="F63" s="17"/>
      <c r="G63" s="16"/>
      <c r="H63" s="18"/>
      <c r="I63" s="16"/>
      <c r="J63" s="16" t="str">
        <f aca="true">IF(E63="","",IF(F63&lt;&gt;"",F63-E63,TODAY()-E63))</f>
        <v/>
      </c>
      <c r="K63" s="16"/>
    </row>
    <row r="64" customFormat="false" ht="15" hidden="false" customHeight="false" outlineLevel="0" collapsed="false">
      <c r="A64" s="16"/>
      <c r="B64" s="16"/>
      <c r="C64" s="16"/>
      <c r="D64" s="16"/>
      <c r="E64" s="17"/>
      <c r="F64" s="17"/>
      <c r="G64" s="16"/>
      <c r="H64" s="18"/>
      <c r="I64" s="16"/>
      <c r="J64" s="16" t="str">
        <f aca="true">IF(E64="","",IF(F64&lt;&gt;"",F64-E64,TODAY()-E64))</f>
        <v/>
      </c>
      <c r="K64" s="16"/>
    </row>
    <row r="65" customFormat="false" ht="15" hidden="false" customHeight="false" outlineLevel="0" collapsed="false">
      <c r="A65" s="16"/>
      <c r="B65" s="16"/>
      <c r="C65" s="16"/>
      <c r="D65" s="16"/>
      <c r="E65" s="17"/>
      <c r="F65" s="17"/>
      <c r="G65" s="16"/>
      <c r="H65" s="18"/>
      <c r="I65" s="16"/>
      <c r="J65" s="16" t="str">
        <f aca="true">IF(E65="","",IF(F65&lt;&gt;"",F65-E65,TODAY()-E65))</f>
        <v/>
      </c>
      <c r="K65" s="16"/>
    </row>
    <row r="66" customFormat="false" ht="15" hidden="false" customHeight="false" outlineLevel="0" collapsed="false">
      <c r="A66" s="16"/>
      <c r="B66" s="16"/>
      <c r="C66" s="16"/>
      <c r="D66" s="16"/>
      <c r="E66" s="17"/>
      <c r="F66" s="17"/>
      <c r="G66" s="16"/>
      <c r="H66" s="18"/>
      <c r="I66" s="16"/>
      <c r="J66" s="16" t="str">
        <f aca="true">IF(E66="","",IF(F66&lt;&gt;"",F66-E66,TODAY()-E66))</f>
        <v/>
      </c>
      <c r="K66" s="16"/>
    </row>
    <row r="67" customFormat="false" ht="15" hidden="false" customHeight="false" outlineLevel="0" collapsed="false">
      <c r="A67" s="16"/>
      <c r="B67" s="16"/>
      <c r="C67" s="16"/>
      <c r="D67" s="16"/>
      <c r="E67" s="17"/>
      <c r="F67" s="17"/>
      <c r="G67" s="16"/>
      <c r="H67" s="18"/>
      <c r="I67" s="16"/>
      <c r="J67" s="16" t="str">
        <f aca="true">IF(E67="","",IF(F67&lt;&gt;"",F67-E67,TODAY()-E67))</f>
        <v/>
      </c>
      <c r="K67" s="16"/>
    </row>
    <row r="68" customFormat="false" ht="15" hidden="false" customHeight="false" outlineLevel="0" collapsed="false">
      <c r="A68" s="16"/>
      <c r="B68" s="16"/>
      <c r="C68" s="16"/>
      <c r="D68" s="16"/>
      <c r="E68" s="17"/>
      <c r="F68" s="17"/>
      <c r="G68" s="16"/>
      <c r="H68" s="18"/>
      <c r="I68" s="16"/>
      <c r="J68" s="16" t="str">
        <f aca="true">IF(E68="","",IF(F68&lt;&gt;"",F68-E68,TODAY()-E68))</f>
        <v/>
      </c>
      <c r="K68" s="16"/>
    </row>
    <row r="69" customFormat="false" ht="15" hidden="false" customHeight="false" outlineLevel="0" collapsed="false">
      <c r="A69" s="16"/>
      <c r="B69" s="16"/>
      <c r="C69" s="16"/>
      <c r="D69" s="16"/>
      <c r="E69" s="17"/>
      <c r="F69" s="17"/>
      <c r="G69" s="16"/>
      <c r="H69" s="18"/>
      <c r="I69" s="16"/>
      <c r="J69" s="16" t="str">
        <f aca="true">IF(E69="","",IF(F69&lt;&gt;"",F69-E69,TODAY()-E69))</f>
        <v/>
      </c>
      <c r="K69" s="16"/>
    </row>
    <row r="70" customFormat="false" ht="15" hidden="false" customHeight="false" outlineLevel="0" collapsed="false">
      <c r="A70" s="16"/>
      <c r="B70" s="16"/>
      <c r="C70" s="16"/>
      <c r="D70" s="16"/>
      <c r="E70" s="17"/>
      <c r="F70" s="17"/>
      <c r="G70" s="16"/>
      <c r="H70" s="18"/>
      <c r="I70" s="16"/>
      <c r="J70" s="16" t="str">
        <f aca="true">IF(E70="","",IF(F70&lt;&gt;"",F70-E70,TODAY()-E70))</f>
        <v/>
      </c>
      <c r="K70" s="16"/>
    </row>
    <row r="71" customFormat="false" ht="15" hidden="false" customHeight="false" outlineLevel="0" collapsed="false">
      <c r="A71" s="16"/>
      <c r="B71" s="16"/>
      <c r="C71" s="16"/>
      <c r="D71" s="16"/>
      <c r="E71" s="17"/>
      <c r="F71" s="17"/>
      <c r="G71" s="16"/>
      <c r="H71" s="18"/>
      <c r="I71" s="16"/>
      <c r="J71" s="16" t="str">
        <f aca="true">IF(E71="","",IF(F71&lt;&gt;"",F71-E71,TODAY()-E71))</f>
        <v/>
      </c>
      <c r="K71" s="16"/>
    </row>
    <row r="72" customFormat="false" ht="15" hidden="false" customHeight="false" outlineLevel="0" collapsed="false">
      <c r="A72" s="16"/>
      <c r="B72" s="16"/>
      <c r="C72" s="16"/>
      <c r="D72" s="16"/>
      <c r="E72" s="17"/>
      <c r="F72" s="17"/>
      <c r="G72" s="16"/>
      <c r="H72" s="18"/>
      <c r="I72" s="16"/>
      <c r="J72" s="16" t="str">
        <f aca="true">IF(E72="","",IF(F72&lt;&gt;"",F72-E72,TODAY()-E72))</f>
        <v/>
      </c>
      <c r="K72" s="16"/>
    </row>
    <row r="73" customFormat="false" ht="15" hidden="false" customHeight="false" outlineLevel="0" collapsed="false">
      <c r="A73" s="16"/>
      <c r="B73" s="16"/>
      <c r="C73" s="16"/>
      <c r="D73" s="16"/>
      <c r="E73" s="17"/>
      <c r="F73" s="17"/>
      <c r="G73" s="16"/>
      <c r="H73" s="18"/>
      <c r="I73" s="16"/>
      <c r="J73" s="16" t="str">
        <f aca="true">IF(E73="","",IF(F73&lt;&gt;"",F73-E73,TODAY()-E73))</f>
        <v/>
      </c>
      <c r="K73" s="16"/>
    </row>
    <row r="74" customFormat="false" ht="15" hidden="false" customHeight="false" outlineLevel="0" collapsed="false">
      <c r="A74" s="16"/>
      <c r="B74" s="16"/>
      <c r="C74" s="16"/>
      <c r="D74" s="16"/>
      <c r="E74" s="17"/>
      <c r="F74" s="17"/>
      <c r="G74" s="16"/>
      <c r="H74" s="18"/>
      <c r="I74" s="16"/>
      <c r="J74" s="16" t="str">
        <f aca="true">IF(E74="","",IF(F74&lt;&gt;"",F74-E74,TODAY()-E74))</f>
        <v/>
      </c>
      <c r="K74" s="16"/>
    </row>
    <row r="75" customFormat="false" ht="15" hidden="false" customHeight="false" outlineLevel="0" collapsed="false">
      <c r="A75" s="16"/>
      <c r="B75" s="16"/>
      <c r="C75" s="16"/>
      <c r="D75" s="16"/>
      <c r="E75" s="17"/>
      <c r="F75" s="17"/>
      <c r="G75" s="16"/>
      <c r="H75" s="18"/>
      <c r="I75" s="16"/>
      <c r="J75" s="16" t="str">
        <f aca="true">IF(E75="","",IF(F75&lt;&gt;"",F75-E75,TODAY()-E75))</f>
        <v/>
      </c>
      <c r="K75" s="16"/>
    </row>
    <row r="76" customFormat="false" ht="15" hidden="false" customHeight="false" outlineLevel="0" collapsed="false">
      <c r="A76" s="16"/>
      <c r="B76" s="16"/>
      <c r="C76" s="16"/>
      <c r="D76" s="16"/>
      <c r="E76" s="17"/>
      <c r="F76" s="17"/>
      <c r="G76" s="16"/>
      <c r="H76" s="18"/>
      <c r="I76" s="16"/>
      <c r="J76" s="16" t="str">
        <f aca="true">IF(E76="","",IF(F76&lt;&gt;"",F76-E76,TODAY()-E76))</f>
        <v/>
      </c>
      <c r="K76" s="16"/>
    </row>
    <row r="77" customFormat="false" ht="15" hidden="false" customHeight="false" outlineLevel="0" collapsed="false">
      <c r="A77" s="16"/>
      <c r="B77" s="16"/>
      <c r="C77" s="16"/>
      <c r="D77" s="16"/>
      <c r="E77" s="17"/>
      <c r="F77" s="17"/>
      <c r="G77" s="16"/>
      <c r="H77" s="18"/>
      <c r="I77" s="16"/>
      <c r="J77" s="16" t="str">
        <f aca="true">IF(E77="","",IF(F77&lt;&gt;"",F77-E77,TODAY()-E77))</f>
        <v/>
      </c>
      <c r="K77" s="16"/>
    </row>
    <row r="78" customFormat="false" ht="15" hidden="false" customHeight="false" outlineLevel="0" collapsed="false">
      <c r="A78" s="16"/>
      <c r="B78" s="16"/>
      <c r="C78" s="16"/>
      <c r="D78" s="16"/>
      <c r="E78" s="17"/>
      <c r="F78" s="17"/>
      <c r="G78" s="16"/>
      <c r="H78" s="18"/>
      <c r="I78" s="16"/>
      <c r="J78" s="16" t="str">
        <f aca="true">IF(E78="","",IF(F78&lt;&gt;"",F78-E78,TODAY()-E78))</f>
        <v/>
      </c>
      <c r="K78" s="16"/>
    </row>
    <row r="79" customFormat="false" ht="15" hidden="false" customHeight="false" outlineLevel="0" collapsed="false">
      <c r="A79" s="16"/>
      <c r="B79" s="16"/>
      <c r="C79" s="16"/>
      <c r="D79" s="16"/>
      <c r="E79" s="17"/>
      <c r="F79" s="17"/>
      <c r="G79" s="16"/>
      <c r="H79" s="18"/>
      <c r="I79" s="16"/>
      <c r="J79" s="16" t="str">
        <f aca="true">IF(E79="","",IF(F79&lt;&gt;"",F79-E79,TODAY()-E79))</f>
        <v/>
      </c>
      <c r="K79" s="16"/>
    </row>
    <row r="80" customFormat="false" ht="15" hidden="false" customHeight="false" outlineLevel="0" collapsed="false">
      <c r="A80" s="16"/>
      <c r="B80" s="16"/>
      <c r="C80" s="16"/>
      <c r="D80" s="16"/>
      <c r="E80" s="17"/>
      <c r="F80" s="17"/>
      <c r="G80" s="16"/>
      <c r="H80" s="18"/>
      <c r="I80" s="16"/>
      <c r="J80" s="16" t="str">
        <f aca="true">IF(E80="","",IF(F80&lt;&gt;"",F80-E80,TODAY()-E80))</f>
        <v/>
      </c>
      <c r="K80" s="16"/>
    </row>
    <row r="81" customFormat="false" ht="15" hidden="false" customHeight="false" outlineLevel="0" collapsed="false">
      <c r="A81" s="16"/>
      <c r="B81" s="16"/>
      <c r="C81" s="16"/>
      <c r="D81" s="16"/>
      <c r="E81" s="17"/>
      <c r="F81" s="17"/>
      <c r="G81" s="16"/>
      <c r="H81" s="18"/>
      <c r="I81" s="16"/>
      <c r="J81" s="16" t="str">
        <f aca="true">IF(E81="","",IF(F81&lt;&gt;"",F81-E81,TODAY()-E81))</f>
        <v/>
      </c>
      <c r="K81" s="16"/>
    </row>
    <row r="82" customFormat="false" ht="15" hidden="false" customHeight="false" outlineLevel="0" collapsed="false">
      <c r="A82" s="16"/>
      <c r="B82" s="16"/>
      <c r="C82" s="16"/>
      <c r="D82" s="16"/>
      <c r="E82" s="17"/>
      <c r="F82" s="17"/>
      <c r="G82" s="16"/>
      <c r="H82" s="18"/>
      <c r="I82" s="16"/>
      <c r="J82" s="16" t="str">
        <f aca="true">IF(E82="","",IF(F82&lt;&gt;"",F82-E82,TODAY()-E82))</f>
        <v/>
      </c>
      <c r="K82" s="16"/>
    </row>
    <row r="83" customFormat="false" ht="15" hidden="false" customHeight="false" outlineLevel="0" collapsed="false">
      <c r="A83" s="16"/>
      <c r="B83" s="16"/>
      <c r="C83" s="16"/>
      <c r="D83" s="16"/>
      <c r="E83" s="17"/>
      <c r="F83" s="17"/>
      <c r="G83" s="16"/>
      <c r="H83" s="18"/>
      <c r="I83" s="16"/>
      <c r="J83" s="16" t="str">
        <f aca="true">IF(E83="","",IF(F83&lt;&gt;"",F83-E83,TODAY()-E83))</f>
        <v/>
      </c>
      <c r="K83" s="16"/>
    </row>
    <row r="84" customFormat="false" ht="15" hidden="false" customHeight="false" outlineLevel="0" collapsed="false">
      <c r="A84" s="16"/>
      <c r="B84" s="16"/>
      <c r="C84" s="16"/>
      <c r="D84" s="16"/>
      <c r="E84" s="17"/>
      <c r="F84" s="17"/>
      <c r="G84" s="16"/>
      <c r="H84" s="18"/>
      <c r="I84" s="16"/>
      <c r="J84" s="16" t="str">
        <f aca="true">IF(E84="","",IF(F84&lt;&gt;"",F84-E84,TODAY()-E84))</f>
        <v/>
      </c>
      <c r="K84" s="16"/>
    </row>
    <row r="85" customFormat="false" ht="15" hidden="false" customHeight="false" outlineLevel="0" collapsed="false">
      <c r="A85" s="16"/>
      <c r="B85" s="16"/>
      <c r="C85" s="16"/>
      <c r="D85" s="16"/>
      <c r="E85" s="17"/>
      <c r="F85" s="17"/>
      <c r="G85" s="16"/>
      <c r="H85" s="18"/>
      <c r="I85" s="16"/>
      <c r="J85" s="16" t="str">
        <f aca="true">IF(E85="","",IF(F85&lt;&gt;"",F85-E85,TODAY()-E85))</f>
        <v/>
      </c>
      <c r="K85" s="16"/>
    </row>
    <row r="86" customFormat="false" ht="15" hidden="false" customHeight="false" outlineLevel="0" collapsed="false">
      <c r="A86" s="16"/>
      <c r="B86" s="16"/>
      <c r="C86" s="16"/>
      <c r="D86" s="16"/>
      <c r="E86" s="17"/>
      <c r="F86" s="17"/>
      <c r="G86" s="16"/>
      <c r="H86" s="18"/>
      <c r="I86" s="16"/>
      <c r="J86" s="16" t="str">
        <f aca="true">IF(E86="","",IF(F86&lt;&gt;"",F86-E86,TODAY()-E86))</f>
        <v/>
      </c>
      <c r="K86" s="16"/>
    </row>
    <row r="87" customFormat="false" ht="15" hidden="false" customHeight="false" outlineLevel="0" collapsed="false">
      <c r="A87" s="16"/>
      <c r="B87" s="16"/>
      <c r="C87" s="16"/>
      <c r="D87" s="16"/>
      <c r="E87" s="17"/>
      <c r="F87" s="17"/>
      <c r="G87" s="16"/>
      <c r="H87" s="18"/>
      <c r="I87" s="16"/>
      <c r="J87" s="16" t="str">
        <f aca="true">IF(E87="","",IF(F87&lt;&gt;"",F87-E87,TODAY()-E87))</f>
        <v/>
      </c>
      <c r="K87" s="16"/>
    </row>
    <row r="88" customFormat="false" ht="15" hidden="false" customHeight="false" outlineLevel="0" collapsed="false">
      <c r="A88" s="16"/>
      <c r="B88" s="16"/>
      <c r="C88" s="16"/>
      <c r="D88" s="16"/>
      <c r="E88" s="17"/>
      <c r="F88" s="17"/>
      <c r="G88" s="16"/>
      <c r="H88" s="18"/>
      <c r="I88" s="16"/>
      <c r="J88" s="16" t="str">
        <f aca="true">IF(E88="","",IF(F88&lt;&gt;"",F88-E88,TODAY()-E88))</f>
        <v/>
      </c>
      <c r="K88" s="16"/>
    </row>
    <row r="89" customFormat="false" ht="15" hidden="false" customHeight="false" outlineLevel="0" collapsed="false">
      <c r="A89" s="16"/>
      <c r="B89" s="16"/>
      <c r="C89" s="16"/>
      <c r="D89" s="16"/>
      <c r="E89" s="17"/>
      <c r="F89" s="17"/>
      <c r="G89" s="16"/>
      <c r="H89" s="18"/>
      <c r="I89" s="16"/>
      <c r="J89" s="16" t="str">
        <f aca="true">IF(E89="","",IF(F89&lt;&gt;"",F89-E89,TODAY()-E89))</f>
        <v/>
      </c>
      <c r="K89" s="16"/>
    </row>
    <row r="90" customFormat="false" ht="15" hidden="false" customHeight="false" outlineLevel="0" collapsed="false">
      <c r="A90" s="16"/>
      <c r="B90" s="16"/>
      <c r="C90" s="16"/>
      <c r="D90" s="16"/>
      <c r="E90" s="17"/>
      <c r="F90" s="17"/>
      <c r="G90" s="16"/>
      <c r="H90" s="18"/>
      <c r="I90" s="16"/>
      <c r="J90" s="16" t="str">
        <f aca="true">IF(E90="","",IF(F90&lt;&gt;"",F90-E90,TODAY()-E90))</f>
        <v/>
      </c>
      <c r="K90" s="16"/>
    </row>
    <row r="91" customFormat="false" ht="15" hidden="false" customHeight="false" outlineLevel="0" collapsed="false">
      <c r="A91" s="16"/>
      <c r="B91" s="16"/>
      <c r="C91" s="16"/>
      <c r="D91" s="16"/>
      <c r="E91" s="17"/>
      <c r="F91" s="17"/>
      <c r="G91" s="16"/>
      <c r="H91" s="18"/>
      <c r="I91" s="16"/>
      <c r="J91" s="16" t="str">
        <f aca="true">IF(E91="","",IF(F91&lt;&gt;"",F91-E91,TODAY()-E91))</f>
        <v/>
      </c>
      <c r="K91" s="16"/>
    </row>
    <row r="92" customFormat="false" ht="15" hidden="false" customHeight="false" outlineLevel="0" collapsed="false">
      <c r="A92" s="16"/>
      <c r="B92" s="16"/>
      <c r="C92" s="16"/>
      <c r="D92" s="16"/>
      <c r="E92" s="17"/>
      <c r="F92" s="17"/>
      <c r="G92" s="16"/>
      <c r="H92" s="18"/>
      <c r="I92" s="16"/>
      <c r="J92" s="16" t="str">
        <f aca="true">IF(E92="","",IF(F92&lt;&gt;"",F92-E92,TODAY()-E92))</f>
        <v/>
      </c>
      <c r="K92" s="16"/>
    </row>
    <row r="93" customFormat="false" ht="15" hidden="false" customHeight="false" outlineLevel="0" collapsed="false">
      <c r="A93" s="16"/>
      <c r="B93" s="16"/>
      <c r="C93" s="16"/>
      <c r="D93" s="16"/>
      <c r="E93" s="17"/>
      <c r="F93" s="17"/>
      <c r="G93" s="16"/>
      <c r="H93" s="18"/>
      <c r="I93" s="16"/>
      <c r="J93" s="16" t="str">
        <f aca="true">IF(E93="","",IF(F93&lt;&gt;"",F93-E93,TODAY()-E93))</f>
        <v/>
      </c>
      <c r="K93" s="16"/>
    </row>
    <row r="94" customFormat="false" ht="15" hidden="false" customHeight="false" outlineLevel="0" collapsed="false">
      <c r="A94" s="16"/>
      <c r="B94" s="16"/>
      <c r="C94" s="16"/>
      <c r="D94" s="16"/>
      <c r="E94" s="17"/>
      <c r="F94" s="17"/>
      <c r="G94" s="16"/>
      <c r="H94" s="18"/>
      <c r="I94" s="16"/>
      <c r="J94" s="16" t="str">
        <f aca="true">IF(E94="","",IF(F94&lt;&gt;"",F94-E94,TODAY()-E94))</f>
        <v/>
      </c>
      <c r="K94" s="16"/>
    </row>
    <row r="95" customFormat="false" ht="15" hidden="false" customHeight="false" outlineLevel="0" collapsed="false">
      <c r="A95" s="16"/>
      <c r="B95" s="16"/>
      <c r="C95" s="16"/>
      <c r="D95" s="16"/>
      <c r="E95" s="17"/>
      <c r="F95" s="17"/>
      <c r="G95" s="16"/>
      <c r="H95" s="18"/>
      <c r="I95" s="16"/>
      <c r="J95" s="16" t="str">
        <f aca="true">IF(E95="","",IF(F95&lt;&gt;"",F95-E95,TODAY()-E95))</f>
        <v/>
      </c>
      <c r="K95" s="16"/>
    </row>
    <row r="96" customFormat="false" ht="15" hidden="false" customHeight="false" outlineLevel="0" collapsed="false">
      <c r="A96" s="16"/>
      <c r="B96" s="16"/>
      <c r="C96" s="16"/>
      <c r="D96" s="16"/>
      <c r="E96" s="17"/>
      <c r="F96" s="17"/>
      <c r="G96" s="16"/>
      <c r="H96" s="18"/>
      <c r="I96" s="16"/>
      <c r="J96" s="16" t="str">
        <f aca="true">IF(E96="","",IF(F96&lt;&gt;"",F96-E96,TODAY()-E96))</f>
        <v/>
      </c>
      <c r="K96" s="16"/>
    </row>
    <row r="97" customFormat="false" ht="15" hidden="false" customHeight="false" outlineLevel="0" collapsed="false">
      <c r="A97" s="16"/>
      <c r="B97" s="16"/>
      <c r="C97" s="16"/>
      <c r="D97" s="16"/>
      <c r="E97" s="17"/>
      <c r="F97" s="17"/>
      <c r="G97" s="16"/>
      <c r="H97" s="18"/>
      <c r="I97" s="16"/>
      <c r="J97" s="16" t="str">
        <f aca="true">IF(E97="","",IF(F97&lt;&gt;"",F97-E97,TODAY()-E97))</f>
        <v/>
      </c>
      <c r="K97" s="16"/>
    </row>
    <row r="98" customFormat="false" ht="15" hidden="false" customHeight="false" outlineLevel="0" collapsed="false">
      <c r="A98" s="16"/>
      <c r="B98" s="16"/>
      <c r="C98" s="16"/>
      <c r="D98" s="16"/>
      <c r="E98" s="17"/>
      <c r="F98" s="17"/>
      <c r="G98" s="16"/>
      <c r="H98" s="18"/>
      <c r="I98" s="16"/>
      <c r="J98" s="16" t="str">
        <f aca="true">IF(E98="","",IF(F98&lt;&gt;"",F98-E98,TODAY()-E98))</f>
        <v/>
      </c>
      <c r="K98" s="16"/>
    </row>
    <row r="99" customFormat="false" ht="15" hidden="false" customHeight="false" outlineLevel="0" collapsed="false">
      <c r="A99" s="16"/>
      <c r="B99" s="16"/>
      <c r="C99" s="16"/>
      <c r="D99" s="16"/>
      <c r="E99" s="17"/>
      <c r="F99" s="17"/>
      <c r="G99" s="16"/>
      <c r="H99" s="18"/>
      <c r="I99" s="16"/>
      <c r="J99" s="16" t="str">
        <f aca="true">IF(E99="","",IF(F99&lt;&gt;"",F99-E99,TODAY()-E99))</f>
        <v/>
      </c>
      <c r="K99" s="16"/>
    </row>
    <row r="100" customFormat="false" ht="15" hidden="false" customHeight="false" outlineLevel="0" collapsed="false">
      <c r="A100" s="16"/>
      <c r="B100" s="16"/>
      <c r="C100" s="16"/>
      <c r="D100" s="16"/>
      <c r="E100" s="17"/>
      <c r="F100" s="17"/>
      <c r="G100" s="16"/>
      <c r="H100" s="18"/>
      <c r="I100" s="16"/>
      <c r="J100" s="16" t="str">
        <f aca="true">IF(E100="","",IF(F100&lt;&gt;"",F100-E100,TODAY()-E100))</f>
        <v/>
      </c>
      <c r="K100" s="16"/>
    </row>
    <row r="101" customFormat="false" ht="15" hidden="false" customHeight="false" outlineLevel="0" collapsed="false">
      <c r="A101" s="16"/>
      <c r="B101" s="16"/>
      <c r="C101" s="16"/>
      <c r="D101" s="16"/>
      <c r="E101" s="17"/>
      <c r="F101" s="17"/>
      <c r="G101" s="16"/>
      <c r="H101" s="18"/>
      <c r="I101" s="16"/>
      <c r="J101" s="16" t="str">
        <f aca="true">IF(E101="","",IF(F101&lt;&gt;"",F101-E101,TODAY()-E101))</f>
        <v/>
      </c>
      <c r="K101" s="16"/>
    </row>
    <row r="102" customFormat="false" ht="15" hidden="false" customHeight="false" outlineLevel="0" collapsed="false">
      <c r="A102" s="16"/>
      <c r="B102" s="16"/>
      <c r="C102" s="16"/>
      <c r="D102" s="16"/>
      <c r="E102" s="17"/>
      <c r="F102" s="17"/>
      <c r="G102" s="16"/>
      <c r="H102" s="18"/>
      <c r="I102" s="16"/>
      <c r="J102" s="16" t="str">
        <f aca="true">IF(E102="","",IF(F102&lt;&gt;"",F102-E102,TODAY()-E102))</f>
        <v/>
      </c>
      <c r="K102" s="16"/>
    </row>
    <row r="103" customFormat="false" ht="15" hidden="false" customHeight="false" outlineLevel="0" collapsed="false">
      <c r="A103" s="16"/>
      <c r="B103" s="16"/>
      <c r="C103" s="16"/>
      <c r="D103" s="16"/>
      <c r="E103" s="17"/>
      <c r="F103" s="17"/>
      <c r="G103" s="16"/>
      <c r="H103" s="18"/>
      <c r="I103" s="16"/>
      <c r="J103" s="16" t="str">
        <f aca="true">IF(E103="","",IF(F103&lt;&gt;"",F103-E103,TODAY()-E103))</f>
        <v/>
      </c>
      <c r="K103" s="16"/>
    </row>
    <row r="104" customFormat="false" ht="15" hidden="false" customHeight="false" outlineLevel="0" collapsed="false">
      <c r="A104" s="16"/>
      <c r="B104" s="16"/>
      <c r="C104" s="16"/>
      <c r="D104" s="16"/>
      <c r="E104" s="17"/>
      <c r="F104" s="17"/>
      <c r="G104" s="16"/>
      <c r="H104" s="18"/>
      <c r="I104" s="16"/>
      <c r="J104" s="16" t="str">
        <f aca="true">IF(E104="","",IF(F104&lt;&gt;"",F104-E104,TODAY()-E104))</f>
        <v/>
      </c>
      <c r="K104" s="16"/>
    </row>
    <row r="105" customFormat="false" ht="15" hidden="false" customHeight="false" outlineLevel="0" collapsed="false">
      <c r="A105" s="16"/>
      <c r="B105" s="16"/>
      <c r="C105" s="16"/>
      <c r="D105" s="16"/>
      <c r="E105" s="17"/>
      <c r="F105" s="17"/>
      <c r="G105" s="16"/>
      <c r="H105" s="18"/>
      <c r="I105" s="16"/>
      <c r="J105" s="16" t="str">
        <f aca="true">IF(E105="","",IF(F105&lt;&gt;"",F105-E105,TODAY()-E105))</f>
        <v/>
      </c>
      <c r="K105" s="16"/>
    </row>
    <row r="106" customFormat="false" ht="15" hidden="false" customHeight="false" outlineLevel="0" collapsed="false">
      <c r="A106" s="16"/>
      <c r="B106" s="16"/>
      <c r="C106" s="16"/>
      <c r="D106" s="16"/>
      <c r="E106" s="17"/>
      <c r="F106" s="17"/>
      <c r="G106" s="16"/>
      <c r="H106" s="18"/>
      <c r="I106" s="16"/>
      <c r="J106" s="16" t="str">
        <f aca="true">IF(E106="","",IF(F106&lt;&gt;"",F106-E106,TODAY()-E106))</f>
        <v/>
      </c>
      <c r="K106" s="16"/>
    </row>
    <row r="107" customFormat="false" ht="15" hidden="false" customHeight="false" outlineLevel="0" collapsed="false">
      <c r="A107" s="16"/>
      <c r="B107" s="16"/>
      <c r="C107" s="16"/>
      <c r="D107" s="16"/>
      <c r="E107" s="17"/>
      <c r="F107" s="17"/>
      <c r="G107" s="16"/>
      <c r="H107" s="18"/>
      <c r="I107" s="16"/>
      <c r="J107" s="16" t="str">
        <f aca="true">IF(E107="","",IF(F107&lt;&gt;"",F107-E107,TODAY()-E107))</f>
        <v/>
      </c>
      <c r="K107" s="16"/>
    </row>
    <row r="108" customFormat="false" ht="15" hidden="false" customHeight="false" outlineLevel="0" collapsed="false">
      <c r="A108" s="16"/>
      <c r="B108" s="16"/>
      <c r="C108" s="16"/>
      <c r="D108" s="16"/>
      <c r="E108" s="17"/>
      <c r="F108" s="17"/>
      <c r="G108" s="16"/>
      <c r="H108" s="18"/>
      <c r="I108" s="16"/>
      <c r="J108" s="16" t="str">
        <f aca="true">IF(E108="","",IF(F108&lt;&gt;"",F108-E108,TODAY()-E108))</f>
        <v/>
      </c>
      <c r="K108" s="16"/>
    </row>
    <row r="109" customFormat="false" ht="15" hidden="false" customHeight="false" outlineLevel="0" collapsed="false">
      <c r="A109" s="16"/>
      <c r="B109" s="16"/>
      <c r="C109" s="16"/>
      <c r="D109" s="16"/>
      <c r="E109" s="17"/>
      <c r="F109" s="17"/>
      <c r="G109" s="16"/>
      <c r="H109" s="18"/>
      <c r="I109" s="16"/>
      <c r="J109" s="16" t="str">
        <f aca="true">IF(E109="","",IF(F109&lt;&gt;"",F109-E109,TODAY()-E109))</f>
        <v/>
      </c>
      <c r="K109" s="16"/>
    </row>
    <row r="110" customFormat="false" ht="15" hidden="false" customHeight="false" outlineLevel="0" collapsed="false">
      <c r="A110" s="16"/>
      <c r="B110" s="16"/>
      <c r="C110" s="16"/>
      <c r="D110" s="16"/>
      <c r="E110" s="17"/>
      <c r="F110" s="17"/>
      <c r="G110" s="16"/>
      <c r="H110" s="18"/>
      <c r="I110" s="16"/>
      <c r="J110" s="16" t="str">
        <f aca="true">IF(E110="","",IF(F110&lt;&gt;"",F110-E110,TODAY()-E110))</f>
        <v/>
      </c>
      <c r="K110" s="16"/>
    </row>
    <row r="111" customFormat="false" ht="15" hidden="false" customHeight="false" outlineLevel="0" collapsed="false">
      <c r="A111" s="16"/>
      <c r="B111" s="16"/>
      <c r="C111" s="16"/>
      <c r="D111" s="16"/>
      <c r="E111" s="17"/>
      <c r="F111" s="17"/>
      <c r="G111" s="16"/>
      <c r="H111" s="18"/>
      <c r="I111" s="16"/>
      <c r="J111" s="16" t="str">
        <f aca="true">IF(E111="","",IF(F111&lt;&gt;"",F111-E111,TODAY()-E111))</f>
        <v/>
      </c>
      <c r="K111" s="16"/>
    </row>
    <row r="112" customFormat="false" ht="15" hidden="false" customHeight="false" outlineLevel="0" collapsed="false">
      <c r="A112" s="16"/>
      <c r="B112" s="16"/>
      <c r="C112" s="16"/>
      <c r="D112" s="16"/>
      <c r="E112" s="17"/>
      <c r="F112" s="17"/>
      <c r="G112" s="16"/>
      <c r="H112" s="18"/>
      <c r="I112" s="16"/>
      <c r="J112" s="16" t="str">
        <f aca="true">IF(E112="","",IF(F112&lt;&gt;"",F112-E112,TODAY()-E112))</f>
        <v/>
      </c>
      <c r="K112" s="16"/>
    </row>
    <row r="113" customFormat="false" ht="15" hidden="false" customHeight="false" outlineLevel="0" collapsed="false">
      <c r="A113" s="16"/>
      <c r="B113" s="16"/>
      <c r="C113" s="16"/>
      <c r="D113" s="16"/>
      <c r="E113" s="17"/>
      <c r="F113" s="17"/>
      <c r="G113" s="16"/>
      <c r="H113" s="18"/>
      <c r="I113" s="16"/>
      <c r="J113" s="16" t="str">
        <f aca="true">IF(E113="","",IF(F113&lt;&gt;"",F113-E113,TODAY()-E113))</f>
        <v/>
      </c>
      <c r="K113" s="16"/>
    </row>
    <row r="114" customFormat="false" ht="15" hidden="false" customHeight="false" outlineLevel="0" collapsed="false">
      <c r="A114" s="16"/>
      <c r="B114" s="16"/>
      <c r="C114" s="16"/>
      <c r="D114" s="16"/>
      <c r="E114" s="17"/>
      <c r="F114" s="17"/>
      <c r="G114" s="16"/>
      <c r="H114" s="18"/>
      <c r="I114" s="16"/>
      <c r="J114" s="16" t="str">
        <f aca="true">IF(E114="","",IF(F114&lt;&gt;"",F114-E114,TODAY()-E114))</f>
        <v/>
      </c>
      <c r="K114" s="16"/>
    </row>
    <row r="115" customFormat="false" ht="15" hidden="false" customHeight="false" outlineLevel="0" collapsed="false">
      <c r="A115" s="16"/>
      <c r="B115" s="16"/>
      <c r="C115" s="16"/>
      <c r="D115" s="16"/>
      <c r="E115" s="17"/>
      <c r="F115" s="17"/>
      <c r="G115" s="16"/>
      <c r="H115" s="18"/>
      <c r="I115" s="16"/>
      <c r="J115" s="16" t="str">
        <f aca="true">IF(E115="","",IF(F115&lt;&gt;"",F115-E115,TODAY()-E115))</f>
        <v/>
      </c>
      <c r="K115" s="16"/>
    </row>
    <row r="116" customFormat="false" ht="15" hidden="false" customHeight="false" outlineLevel="0" collapsed="false">
      <c r="A116" s="16"/>
      <c r="B116" s="16"/>
      <c r="C116" s="16"/>
      <c r="D116" s="16"/>
      <c r="E116" s="17"/>
      <c r="F116" s="17"/>
      <c r="G116" s="16"/>
      <c r="H116" s="18"/>
      <c r="I116" s="16"/>
      <c r="J116" s="16" t="str">
        <f aca="true">IF(E116="","",IF(F116&lt;&gt;"",F116-E116,TODAY()-E116))</f>
        <v/>
      </c>
      <c r="K116" s="16"/>
    </row>
    <row r="117" customFormat="false" ht="15" hidden="false" customHeight="false" outlineLevel="0" collapsed="false">
      <c r="A117" s="16"/>
      <c r="B117" s="16"/>
      <c r="C117" s="16"/>
      <c r="D117" s="16"/>
      <c r="E117" s="17"/>
      <c r="F117" s="17"/>
      <c r="G117" s="16"/>
      <c r="H117" s="18"/>
      <c r="I117" s="16"/>
      <c r="J117" s="16" t="str">
        <f aca="true">IF(E117="","",IF(F117&lt;&gt;"",F117-E117,TODAY()-E117))</f>
        <v/>
      </c>
      <c r="K117" s="16"/>
    </row>
    <row r="118" customFormat="false" ht="15" hidden="false" customHeight="false" outlineLevel="0" collapsed="false">
      <c r="A118" s="16"/>
      <c r="B118" s="16"/>
      <c r="C118" s="16"/>
      <c r="D118" s="16"/>
      <c r="E118" s="17"/>
      <c r="F118" s="17"/>
      <c r="G118" s="16"/>
      <c r="H118" s="18"/>
      <c r="I118" s="16"/>
      <c r="J118" s="16" t="str">
        <f aca="true">IF(E118="","",IF(F118&lt;&gt;"",F118-E118,TODAY()-E118))</f>
        <v/>
      </c>
      <c r="K118" s="16"/>
    </row>
    <row r="119" customFormat="false" ht="15" hidden="false" customHeight="false" outlineLevel="0" collapsed="false">
      <c r="A119" s="16"/>
      <c r="B119" s="16"/>
      <c r="C119" s="16"/>
      <c r="D119" s="16"/>
      <c r="E119" s="17"/>
      <c r="F119" s="17"/>
      <c r="G119" s="16"/>
      <c r="H119" s="18"/>
      <c r="I119" s="16"/>
      <c r="J119" s="16" t="str">
        <f aca="true">IF(E119="","",IF(F119&lt;&gt;"",F119-E119,TODAY()-E119))</f>
        <v/>
      </c>
      <c r="K119" s="16"/>
    </row>
    <row r="120" customFormat="false" ht="15" hidden="false" customHeight="false" outlineLevel="0" collapsed="false">
      <c r="A120" s="16"/>
      <c r="B120" s="16"/>
      <c r="C120" s="16"/>
      <c r="D120" s="16"/>
      <c r="E120" s="17"/>
      <c r="F120" s="17"/>
      <c r="G120" s="16"/>
      <c r="H120" s="18"/>
      <c r="I120" s="16"/>
      <c r="J120" s="16" t="str">
        <f aca="true">IF(E120="","",IF(F120&lt;&gt;"",F120-E120,TODAY()-E120))</f>
        <v/>
      </c>
      <c r="K120" s="16"/>
    </row>
    <row r="121" customFormat="false" ht="15" hidden="false" customHeight="false" outlineLevel="0" collapsed="false">
      <c r="A121" s="16"/>
      <c r="B121" s="16"/>
      <c r="C121" s="16"/>
      <c r="D121" s="16"/>
      <c r="E121" s="17"/>
      <c r="F121" s="17"/>
      <c r="G121" s="16"/>
      <c r="H121" s="18"/>
      <c r="I121" s="16"/>
      <c r="J121" s="16" t="str">
        <f aca="true">IF(E121="","",IF(F121&lt;&gt;"",F121-E121,TODAY()-E121))</f>
        <v/>
      </c>
      <c r="K121" s="16"/>
    </row>
    <row r="122" customFormat="false" ht="15" hidden="false" customHeight="false" outlineLevel="0" collapsed="false">
      <c r="A122" s="16"/>
      <c r="B122" s="16"/>
      <c r="C122" s="16"/>
      <c r="D122" s="16"/>
      <c r="E122" s="17"/>
      <c r="F122" s="17"/>
      <c r="G122" s="16"/>
      <c r="H122" s="18"/>
      <c r="I122" s="16"/>
      <c r="J122" s="16" t="str">
        <f aca="true">IF(E122="","",IF(F122&lt;&gt;"",F122-E122,TODAY()-E122))</f>
        <v/>
      </c>
      <c r="K122" s="16"/>
    </row>
    <row r="123" customFormat="false" ht="15" hidden="false" customHeight="false" outlineLevel="0" collapsed="false">
      <c r="A123" s="16"/>
      <c r="B123" s="16"/>
      <c r="C123" s="16"/>
      <c r="D123" s="16"/>
      <c r="E123" s="17"/>
      <c r="F123" s="17"/>
      <c r="G123" s="16"/>
      <c r="H123" s="18"/>
      <c r="I123" s="16"/>
      <c r="J123" s="16" t="str">
        <f aca="true">IF(E123="","",IF(F123&lt;&gt;"",F123-E123,TODAY()-E123))</f>
        <v/>
      </c>
      <c r="K123" s="16"/>
    </row>
    <row r="124" customFormat="false" ht="15" hidden="false" customHeight="false" outlineLevel="0" collapsed="false">
      <c r="A124" s="16"/>
      <c r="B124" s="16"/>
      <c r="C124" s="16"/>
      <c r="D124" s="16"/>
      <c r="E124" s="17"/>
      <c r="F124" s="17"/>
      <c r="G124" s="16"/>
      <c r="H124" s="18"/>
      <c r="I124" s="16"/>
      <c r="J124" s="16" t="str">
        <f aca="true">IF(E124="","",IF(F124&lt;&gt;"",F124-E124,TODAY()-E124))</f>
        <v/>
      </c>
      <c r="K124" s="16"/>
    </row>
    <row r="125" customFormat="false" ht="15" hidden="false" customHeight="false" outlineLevel="0" collapsed="false">
      <c r="A125" s="16"/>
      <c r="B125" s="16"/>
      <c r="C125" s="16"/>
      <c r="D125" s="16"/>
      <c r="E125" s="17"/>
      <c r="F125" s="17"/>
      <c r="G125" s="16"/>
      <c r="H125" s="18"/>
      <c r="I125" s="16"/>
      <c r="J125" s="16" t="str">
        <f aca="true">IF(E125="","",IF(F125&lt;&gt;"",F125-E125,TODAY()-E125))</f>
        <v/>
      </c>
      <c r="K125" s="16"/>
    </row>
    <row r="126" customFormat="false" ht="15" hidden="false" customHeight="false" outlineLevel="0" collapsed="false">
      <c r="A126" s="16"/>
      <c r="B126" s="16"/>
      <c r="C126" s="16"/>
      <c r="D126" s="16"/>
      <c r="E126" s="17"/>
      <c r="F126" s="17"/>
      <c r="G126" s="16"/>
      <c r="H126" s="18"/>
      <c r="I126" s="16"/>
      <c r="J126" s="16" t="str">
        <f aca="true">IF(E126="","",IF(F126&lt;&gt;"",F126-E126,TODAY()-E126))</f>
        <v/>
      </c>
      <c r="K126" s="16"/>
    </row>
    <row r="127" customFormat="false" ht="15" hidden="false" customHeight="false" outlineLevel="0" collapsed="false">
      <c r="A127" s="16"/>
      <c r="B127" s="16"/>
      <c r="C127" s="16"/>
      <c r="D127" s="16"/>
      <c r="E127" s="17"/>
      <c r="F127" s="17"/>
      <c r="G127" s="16"/>
      <c r="H127" s="18"/>
      <c r="I127" s="16"/>
      <c r="J127" s="16" t="str">
        <f aca="true">IF(E127="","",IF(F127&lt;&gt;"",F127-E127,TODAY()-E127))</f>
        <v/>
      </c>
      <c r="K127" s="16"/>
    </row>
    <row r="128" customFormat="false" ht="15" hidden="false" customHeight="false" outlineLevel="0" collapsed="false">
      <c r="A128" s="16"/>
      <c r="B128" s="16"/>
      <c r="C128" s="16"/>
      <c r="D128" s="16"/>
      <c r="E128" s="17"/>
      <c r="F128" s="17"/>
      <c r="G128" s="16"/>
      <c r="H128" s="18"/>
      <c r="I128" s="16"/>
      <c r="J128" s="16" t="str">
        <f aca="true">IF(E128="","",IF(F128&lt;&gt;"",F128-E128,TODAY()-E128))</f>
        <v/>
      </c>
      <c r="K128" s="16"/>
    </row>
    <row r="129" customFormat="false" ht="15" hidden="false" customHeight="false" outlineLevel="0" collapsed="false">
      <c r="A129" s="16"/>
      <c r="B129" s="16"/>
      <c r="C129" s="16"/>
      <c r="D129" s="16"/>
      <c r="E129" s="17"/>
      <c r="F129" s="17"/>
      <c r="G129" s="16"/>
      <c r="H129" s="18"/>
      <c r="I129" s="16"/>
      <c r="J129" s="16" t="str">
        <f aca="true">IF(E129="","",IF(F129&lt;&gt;"",F129-E129,TODAY()-E129))</f>
        <v/>
      </c>
      <c r="K129" s="16"/>
    </row>
    <row r="130" customFormat="false" ht="15" hidden="false" customHeight="false" outlineLevel="0" collapsed="false">
      <c r="A130" s="16"/>
      <c r="B130" s="16"/>
      <c r="C130" s="16"/>
      <c r="D130" s="16"/>
      <c r="E130" s="17"/>
      <c r="F130" s="17"/>
      <c r="G130" s="16"/>
      <c r="H130" s="18"/>
      <c r="I130" s="16"/>
      <c r="J130" s="16" t="str">
        <f aca="true">IF(E130="","",IF(F130&lt;&gt;"",F130-E130,TODAY()-E130))</f>
        <v/>
      </c>
      <c r="K130" s="16"/>
    </row>
    <row r="131" customFormat="false" ht="15" hidden="false" customHeight="false" outlineLevel="0" collapsed="false">
      <c r="A131" s="16"/>
      <c r="B131" s="16"/>
      <c r="C131" s="16"/>
      <c r="D131" s="16"/>
      <c r="E131" s="17"/>
      <c r="F131" s="17"/>
      <c r="G131" s="16"/>
      <c r="H131" s="18"/>
      <c r="I131" s="16"/>
      <c r="J131" s="16" t="str">
        <f aca="true">IF(E131="","",IF(F131&lt;&gt;"",F131-E131,TODAY()-E131))</f>
        <v/>
      </c>
      <c r="K131" s="16"/>
    </row>
    <row r="132" customFormat="false" ht="15" hidden="false" customHeight="false" outlineLevel="0" collapsed="false">
      <c r="A132" s="16"/>
      <c r="B132" s="16"/>
      <c r="C132" s="16"/>
      <c r="D132" s="16"/>
      <c r="E132" s="17"/>
      <c r="F132" s="17"/>
      <c r="G132" s="16"/>
      <c r="H132" s="18"/>
      <c r="I132" s="16"/>
      <c r="J132" s="16" t="str">
        <f aca="true">IF(E132="","",IF(F132&lt;&gt;"",F132-E132,TODAY()-E132))</f>
        <v/>
      </c>
      <c r="K132" s="16"/>
    </row>
    <row r="133" customFormat="false" ht="15" hidden="false" customHeight="false" outlineLevel="0" collapsed="false">
      <c r="A133" s="16"/>
      <c r="B133" s="16"/>
      <c r="C133" s="16"/>
      <c r="D133" s="16"/>
      <c r="E133" s="17"/>
      <c r="F133" s="17"/>
      <c r="G133" s="16"/>
      <c r="H133" s="18"/>
      <c r="I133" s="16"/>
      <c r="J133" s="16" t="str">
        <f aca="true">IF(E133="","",IF(F133&lt;&gt;"",F133-E133,TODAY()-E133))</f>
        <v/>
      </c>
      <c r="K133" s="16"/>
    </row>
    <row r="134" customFormat="false" ht="15" hidden="false" customHeight="false" outlineLevel="0" collapsed="false">
      <c r="A134" s="16"/>
      <c r="B134" s="16"/>
      <c r="C134" s="16"/>
      <c r="D134" s="16"/>
      <c r="E134" s="17"/>
      <c r="F134" s="17"/>
      <c r="G134" s="16"/>
      <c r="H134" s="18"/>
      <c r="I134" s="16"/>
      <c r="J134" s="16" t="str">
        <f aca="true">IF(E134="","",IF(F134&lt;&gt;"",F134-E134,TODAY()-E134))</f>
        <v/>
      </c>
      <c r="K134" s="16"/>
    </row>
    <row r="135" customFormat="false" ht="15" hidden="false" customHeight="false" outlineLevel="0" collapsed="false">
      <c r="A135" s="16"/>
      <c r="B135" s="16"/>
      <c r="C135" s="16"/>
      <c r="D135" s="16"/>
      <c r="E135" s="17"/>
      <c r="F135" s="17"/>
      <c r="G135" s="16"/>
      <c r="H135" s="18"/>
      <c r="I135" s="16"/>
      <c r="J135" s="16" t="str">
        <f aca="true">IF(E135="","",IF(F135&lt;&gt;"",F135-E135,TODAY()-E135))</f>
        <v/>
      </c>
      <c r="K135" s="16"/>
    </row>
    <row r="136" customFormat="false" ht="15" hidden="false" customHeight="false" outlineLevel="0" collapsed="false">
      <c r="A136" s="16"/>
      <c r="B136" s="16"/>
      <c r="C136" s="16"/>
      <c r="D136" s="16"/>
      <c r="E136" s="17"/>
      <c r="F136" s="17"/>
      <c r="G136" s="16"/>
      <c r="H136" s="18"/>
      <c r="I136" s="16"/>
      <c r="J136" s="16" t="str">
        <f aca="true">IF(E136="","",IF(F136&lt;&gt;"",F136-E136,TODAY()-E136))</f>
        <v/>
      </c>
      <c r="K136" s="16"/>
    </row>
    <row r="137" customFormat="false" ht="15" hidden="false" customHeight="false" outlineLevel="0" collapsed="false">
      <c r="A137" s="16"/>
      <c r="B137" s="16"/>
      <c r="C137" s="16"/>
      <c r="D137" s="16"/>
      <c r="E137" s="17"/>
      <c r="F137" s="17"/>
      <c r="G137" s="16"/>
      <c r="H137" s="18"/>
      <c r="I137" s="16"/>
      <c r="J137" s="16" t="str">
        <f aca="true">IF(E137="","",IF(F137&lt;&gt;"",F137-E137,TODAY()-E137))</f>
        <v/>
      </c>
      <c r="K137" s="16"/>
    </row>
    <row r="138" customFormat="false" ht="15" hidden="false" customHeight="false" outlineLevel="0" collapsed="false">
      <c r="A138" s="16"/>
      <c r="B138" s="16"/>
      <c r="C138" s="16"/>
      <c r="D138" s="16"/>
      <c r="E138" s="17"/>
      <c r="F138" s="17"/>
      <c r="G138" s="16"/>
      <c r="H138" s="18"/>
      <c r="I138" s="16"/>
      <c r="J138" s="16" t="str">
        <f aca="true">IF(E138="","",IF(F138&lt;&gt;"",F138-E138,TODAY()-E138))</f>
        <v/>
      </c>
      <c r="K138" s="16"/>
    </row>
    <row r="139" customFormat="false" ht="15" hidden="false" customHeight="false" outlineLevel="0" collapsed="false">
      <c r="A139" s="16"/>
      <c r="B139" s="16"/>
      <c r="C139" s="16"/>
      <c r="D139" s="16"/>
      <c r="E139" s="17"/>
      <c r="F139" s="17"/>
      <c r="G139" s="16"/>
      <c r="H139" s="18"/>
      <c r="I139" s="16"/>
      <c r="J139" s="16" t="str">
        <f aca="true">IF(E139="","",IF(F139&lt;&gt;"",F139-E139,TODAY()-E139))</f>
        <v/>
      </c>
      <c r="K139" s="16"/>
    </row>
    <row r="140" customFormat="false" ht="15" hidden="false" customHeight="false" outlineLevel="0" collapsed="false">
      <c r="A140" s="16"/>
      <c r="B140" s="16"/>
      <c r="C140" s="16"/>
      <c r="D140" s="16"/>
      <c r="E140" s="17"/>
      <c r="F140" s="17"/>
      <c r="G140" s="16"/>
      <c r="H140" s="18"/>
      <c r="I140" s="16"/>
      <c r="J140" s="16" t="str">
        <f aca="true">IF(E140="","",IF(F140&lt;&gt;"",F140-E140,TODAY()-E140))</f>
        <v/>
      </c>
      <c r="K140" s="16"/>
    </row>
    <row r="141" customFormat="false" ht="15" hidden="false" customHeight="false" outlineLevel="0" collapsed="false">
      <c r="A141" s="16"/>
      <c r="B141" s="16"/>
      <c r="C141" s="16"/>
      <c r="D141" s="16"/>
      <c r="E141" s="17"/>
      <c r="F141" s="17"/>
      <c r="G141" s="16"/>
      <c r="H141" s="18"/>
      <c r="I141" s="16"/>
      <c r="J141" s="16" t="str">
        <f aca="true">IF(E141="","",IF(F141&lt;&gt;"",F141-E141,TODAY()-E141))</f>
        <v/>
      </c>
      <c r="K141" s="16"/>
    </row>
    <row r="142" customFormat="false" ht="15" hidden="false" customHeight="false" outlineLevel="0" collapsed="false">
      <c r="A142" s="16"/>
      <c r="B142" s="16"/>
      <c r="C142" s="16"/>
      <c r="D142" s="16"/>
      <c r="E142" s="17"/>
      <c r="F142" s="17"/>
      <c r="G142" s="16"/>
      <c r="H142" s="18"/>
      <c r="I142" s="16"/>
      <c r="J142" s="16" t="str">
        <f aca="true">IF(E142="","",IF(F142&lt;&gt;"",F142-E142,TODAY()-E142))</f>
        <v/>
      </c>
      <c r="K142" s="16"/>
    </row>
    <row r="143" customFormat="false" ht="15" hidden="false" customHeight="false" outlineLevel="0" collapsed="false">
      <c r="A143" s="16"/>
      <c r="B143" s="16"/>
      <c r="C143" s="16"/>
      <c r="D143" s="16"/>
      <c r="E143" s="17"/>
      <c r="F143" s="17"/>
      <c r="G143" s="16"/>
      <c r="H143" s="18"/>
      <c r="I143" s="16"/>
      <c r="J143" s="16" t="str">
        <f aca="true">IF(E143="","",IF(F143&lt;&gt;"",F143-E143,TODAY()-E143))</f>
        <v/>
      </c>
      <c r="K143" s="16"/>
    </row>
    <row r="144" customFormat="false" ht="15" hidden="false" customHeight="false" outlineLevel="0" collapsed="false">
      <c r="A144" s="16"/>
      <c r="B144" s="16"/>
      <c r="C144" s="16"/>
      <c r="D144" s="16"/>
      <c r="E144" s="17"/>
      <c r="F144" s="17"/>
      <c r="G144" s="16"/>
      <c r="H144" s="18"/>
      <c r="I144" s="16"/>
      <c r="J144" s="16" t="str">
        <f aca="true">IF(E144="","",IF(F144&lt;&gt;"",F144-E144,TODAY()-E144))</f>
        <v/>
      </c>
      <c r="K144" s="16"/>
    </row>
    <row r="145" customFormat="false" ht="15" hidden="false" customHeight="false" outlineLevel="0" collapsed="false">
      <c r="A145" s="16"/>
      <c r="B145" s="16"/>
      <c r="C145" s="16"/>
      <c r="D145" s="16"/>
      <c r="E145" s="17"/>
      <c r="F145" s="17"/>
      <c r="G145" s="16"/>
      <c r="H145" s="18"/>
      <c r="I145" s="16"/>
      <c r="J145" s="16" t="str">
        <f aca="true">IF(E145="","",IF(F145&lt;&gt;"",F145-E145,TODAY()-E145))</f>
        <v/>
      </c>
      <c r="K145" s="16"/>
    </row>
    <row r="146" customFormat="false" ht="15" hidden="false" customHeight="false" outlineLevel="0" collapsed="false">
      <c r="A146" s="16"/>
      <c r="B146" s="16"/>
      <c r="C146" s="16"/>
      <c r="D146" s="16"/>
      <c r="E146" s="17"/>
      <c r="F146" s="17"/>
      <c r="G146" s="16"/>
      <c r="H146" s="18"/>
      <c r="I146" s="16"/>
      <c r="J146" s="16" t="str">
        <f aca="true">IF(E146="","",IF(F146&lt;&gt;"",F146-E146,TODAY()-E146))</f>
        <v/>
      </c>
      <c r="K146" s="16"/>
    </row>
    <row r="147" customFormat="false" ht="15" hidden="false" customHeight="false" outlineLevel="0" collapsed="false">
      <c r="A147" s="16"/>
      <c r="B147" s="16"/>
      <c r="C147" s="16"/>
      <c r="D147" s="16"/>
      <c r="E147" s="17"/>
      <c r="F147" s="17"/>
      <c r="G147" s="16"/>
      <c r="H147" s="18"/>
      <c r="I147" s="16"/>
      <c r="J147" s="16" t="str">
        <f aca="true">IF(E147="","",IF(F147&lt;&gt;"",F147-E147,TODAY()-E147))</f>
        <v/>
      </c>
      <c r="K147" s="16"/>
    </row>
    <row r="148" customFormat="false" ht="15" hidden="false" customHeight="false" outlineLevel="0" collapsed="false">
      <c r="A148" s="16"/>
      <c r="B148" s="16"/>
      <c r="C148" s="16"/>
      <c r="D148" s="16"/>
      <c r="E148" s="17"/>
      <c r="F148" s="17"/>
      <c r="G148" s="16"/>
      <c r="H148" s="18"/>
      <c r="I148" s="16"/>
      <c r="J148" s="16" t="str">
        <f aca="true">IF(E148="","",IF(F148&lt;&gt;"",F148-E148,TODAY()-E148))</f>
        <v/>
      </c>
      <c r="K148" s="16"/>
    </row>
    <row r="149" customFormat="false" ht="15" hidden="false" customHeight="false" outlineLevel="0" collapsed="false">
      <c r="A149" s="16"/>
      <c r="B149" s="16"/>
      <c r="C149" s="16"/>
      <c r="D149" s="16"/>
      <c r="E149" s="17"/>
      <c r="F149" s="17"/>
      <c r="G149" s="16"/>
      <c r="H149" s="18"/>
      <c r="I149" s="16"/>
      <c r="J149" s="16" t="str">
        <f aca="true">IF(E149="","",IF(F149&lt;&gt;"",F149-E149,TODAY()-E149))</f>
        <v/>
      </c>
      <c r="K149" s="16"/>
    </row>
    <row r="150" customFormat="false" ht="15" hidden="false" customHeight="false" outlineLevel="0" collapsed="false">
      <c r="A150" s="16"/>
      <c r="B150" s="16"/>
      <c r="C150" s="16"/>
      <c r="D150" s="16"/>
      <c r="E150" s="17"/>
      <c r="F150" s="17"/>
      <c r="G150" s="16"/>
      <c r="H150" s="18"/>
      <c r="I150" s="16"/>
      <c r="J150" s="16" t="str">
        <f aca="true">IF(E150="","",IF(F150&lt;&gt;"",F150-E150,TODAY()-E150))</f>
        <v/>
      </c>
      <c r="K150" s="16"/>
    </row>
    <row r="151" customFormat="false" ht="15" hidden="false" customHeight="false" outlineLevel="0" collapsed="false">
      <c r="A151" s="16"/>
      <c r="B151" s="16"/>
      <c r="C151" s="16"/>
      <c r="D151" s="16"/>
      <c r="E151" s="17"/>
      <c r="F151" s="17"/>
      <c r="G151" s="16"/>
      <c r="H151" s="18"/>
      <c r="I151" s="16"/>
      <c r="J151" s="16" t="str">
        <f aca="true">IF(E151="","",IF(F151&lt;&gt;"",F151-E151,TODAY()-E151))</f>
        <v/>
      </c>
      <c r="K151" s="16"/>
    </row>
    <row r="152" customFormat="false" ht="15" hidden="false" customHeight="false" outlineLevel="0" collapsed="false">
      <c r="A152" s="16"/>
      <c r="B152" s="16"/>
      <c r="C152" s="16"/>
      <c r="D152" s="16"/>
      <c r="E152" s="17"/>
      <c r="F152" s="17"/>
      <c r="G152" s="16"/>
      <c r="H152" s="18"/>
      <c r="I152" s="16"/>
      <c r="J152" s="16" t="str">
        <f aca="true">IF(E152="","",IF(F152&lt;&gt;"",F152-E152,TODAY()-E152))</f>
        <v/>
      </c>
      <c r="K152" s="16"/>
    </row>
    <row r="153" customFormat="false" ht="15" hidden="false" customHeight="false" outlineLevel="0" collapsed="false">
      <c r="A153" s="16"/>
      <c r="B153" s="16"/>
      <c r="C153" s="16"/>
      <c r="D153" s="16"/>
      <c r="E153" s="17"/>
      <c r="F153" s="17"/>
      <c r="G153" s="16"/>
      <c r="H153" s="18"/>
      <c r="I153" s="16"/>
      <c r="J153" s="16" t="str">
        <f aca="true">IF(E153="","",IF(F153&lt;&gt;"",F153-E153,TODAY()-E153))</f>
        <v/>
      </c>
      <c r="K153" s="16"/>
    </row>
    <row r="154" customFormat="false" ht="15" hidden="false" customHeight="false" outlineLevel="0" collapsed="false">
      <c r="A154" s="16"/>
      <c r="B154" s="16"/>
      <c r="C154" s="16"/>
      <c r="D154" s="16"/>
      <c r="E154" s="17"/>
      <c r="F154" s="17"/>
      <c r="G154" s="16"/>
      <c r="H154" s="18"/>
      <c r="I154" s="16"/>
      <c r="J154" s="16" t="str">
        <f aca="true">IF(E154="","",IF(F154&lt;&gt;"",F154-E154,TODAY()-E154))</f>
        <v/>
      </c>
      <c r="K154" s="16"/>
    </row>
    <row r="155" customFormat="false" ht="15" hidden="false" customHeight="false" outlineLevel="0" collapsed="false">
      <c r="A155" s="16"/>
      <c r="B155" s="16"/>
      <c r="C155" s="16"/>
      <c r="D155" s="16"/>
      <c r="E155" s="17"/>
      <c r="F155" s="17"/>
      <c r="G155" s="16"/>
      <c r="H155" s="18"/>
      <c r="I155" s="16"/>
      <c r="J155" s="16" t="str">
        <f aca="true">IF(E155="","",IF(F155&lt;&gt;"",F155-E155,TODAY()-E155))</f>
        <v/>
      </c>
      <c r="K155" s="16"/>
    </row>
    <row r="156" customFormat="false" ht="15" hidden="false" customHeight="false" outlineLevel="0" collapsed="false">
      <c r="A156" s="16"/>
      <c r="B156" s="16"/>
      <c r="C156" s="16"/>
      <c r="D156" s="16"/>
      <c r="E156" s="17"/>
      <c r="F156" s="17"/>
      <c r="G156" s="16"/>
      <c r="H156" s="18"/>
      <c r="I156" s="16"/>
      <c r="J156" s="16" t="str">
        <f aca="true">IF(E156="","",IF(F156&lt;&gt;"",F156-E156,TODAY()-E156))</f>
        <v/>
      </c>
      <c r="K156" s="16"/>
    </row>
    <row r="157" customFormat="false" ht="15" hidden="false" customHeight="false" outlineLevel="0" collapsed="false">
      <c r="A157" s="16"/>
      <c r="B157" s="16"/>
      <c r="C157" s="16"/>
      <c r="D157" s="16"/>
      <c r="E157" s="17"/>
      <c r="F157" s="17"/>
      <c r="G157" s="16"/>
      <c r="H157" s="18"/>
      <c r="I157" s="16"/>
      <c r="J157" s="16" t="str">
        <f aca="true">IF(E157="","",IF(F157&lt;&gt;"",F157-E157,TODAY()-E157))</f>
        <v/>
      </c>
      <c r="K157" s="16"/>
    </row>
    <row r="158" customFormat="false" ht="15" hidden="false" customHeight="false" outlineLevel="0" collapsed="false">
      <c r="A158" s="16"/>
      <c r="B158" s="16"/>
      <c r="C158" s="16"/>
      <c r="D158" s="16"/>
      <c r="E158" s="17"/>
      <c r="F158" s="17"/>
      <c r="G158" s="16"/>
      <c r="H158" s="18"/>
      <c r="I158" s="16"/>
      <c r="J158" s="16" t="str">
        <f aca="true">IF(E158="","",IF(F158&lt;&gt;"",F158-E158,TODAY()-E158))</f>
        <v/>
      </c>
      <c r="K158" s="16"/>
    </row>
    <row r="159" customFormat="false" ht="15" hidden="false" customHeight="false" outlineLevel="0" collapsed="false">
      <c r="A159" s="16"/>
      <c r="B159" s="16"/>
      <c r="C159" s="16"/>
      <c r="D159" s="16"/>
      <c r="E159" s="17"/>
      <c r="F159" s="17"/>
      <c r="G159" s="16"/>
      <c r="H159" s="18"/>
      <c r="I159" s="16"/>
      <c r="J159" s="16" t="str">
        <f aca="true">IF(E159="","",IF(F159&lt;&gt;"",F159-E159,TODAY()-E159))</f>
        <v/>
      </c>
      <c r="K159" s="16"/>
    </row>
    <row r="160" customFormat="false" ht="15" hidden="false" customHeight="false" outlineLevel="0" collapsed="false">
      <c r="A160" s="16"/>
      <c r="B160" s="16"/>
      <c r="C160" s="16"/>
      <c r="D160" s="16"/>
      <c r="E160" s="17"/>
      <c r="F160" s="17"/>
      <c r="G160" s="16"/>
      <c r="H160" s="18"/>
      <c r="I160" s="16"/>
      <c r="J160" s="16" t="str">
        <f aca="true">IF(E160="","",IF(F160&lt;&gt;"",F160-E160,TODAY()-E160))</f>
        <v/>
      </c>
      <c r="K160" s="16"/>
    </row>
    <row r="161" customFormat="false" ht="15" hidden="false" customHeight="false" outlineLevel="0" collapsed="false">
      <c r="A161" s="16"/>
      <c r="B161" s="16"/>
      <c r="C161" s="16"/>
      <c r="D161" s="16"/>
      <c r="E161" s="17"/>
      <c r="F161" s="17"/>
      <c r="G161" s="16"/>
      <c r="H161" s="18"/>
      <c r="I161" s="16"/>
      <c r="J161" s="16" t="str">
        <f aca="true">IF(E161="","",IF(F161&lt;&gt;"",F161-E161,TODAY()-E161))</f>
        <v/>
      </c>
      <c r="K161" s="16"/>
    </row>
    <row r="162" customFormat="false" ht="15" hidden="false" customHeight="false" outlineLevel="0" collapsed="false">
      <c r="A162" s="16"/>
      <c r="B162" s="16"/>
      <c r="C162" s="16"/>
      <c r="D162" s="16"/>
      <c r="E162" s="17"/>
      <c r="F162" s="17"/>
      <c r="G162" s="16"/>
      <c r="H162" s="18"/>
      <c r="I162" s="16"/>
      <c r="J162" s="16" t="str">
        <f aca="true">IF(E162="","",IF(F162&lt;&gt;"",F162-E162,TODAY()-E162))</f>
        <v/>
      </c>
      <c r="K162" s="16"/>
    </row>
    <row r="163" customFormat="false" ht="15" hidden="false" customHeight="false" outlineLevel="0" collapsed="false">
      <c r="A163" s="16"/>
      <c r="B163" s="16"/>
      <c r="C163" s="16"/>
      <c r="D163" s="16"/>
      <c r="E163" s="17"/>
      <c r="F163" s="17"/>
      <c r="G163" s="16"/>
      <c r="H163" s="18"/>
      <c r="I163" s="16"/>
      <c r="J163" s="16" t="str">
        <f aca="true">IF(E163="","",IF(F163&lt;&gt;"",F163-E163,TODAY()-E163))</f>
        <v/>
      </c>
      <c r="K163" s="16"/>
    </row>
    <row r="164" customFormat="false" ht="15" hidden="false" customHeight="false" outlineLevel="0" collapsed="false">
      <c r="A164" s="16"/>
      <c r="B164" s="16"/>
      <c r="C164" s="16"/>
      <c r="D164" s="16"/>
      <c r="E164" s="17"/>
      <c r="F164" s="17"/>
      <c r="G164" s="16"/>
      <c r="H164" s="18"/>
      <c r="I164" s="16"/>
      <c r="J164" s="16" t="str">
        <f aca="true">IF(E164="","",IF(F164&lt;&gt;"",F164-E164,TODAY()-E164))</f>
        <v/>
      </c>
      <c r="K164" s="16"/>
    </row>
    <row r="165" customFormat="false" ht="15" hidden="false" customHeight="false" outlineLevel="0" collapsed="false">
      <c r="A165" s="16"/>
      <c r="B165" s="16"/>
      <c r="C165" s="16"/>
      <c r="D165" s="16"/>
      <c r="E165" s="17"/>
      <c r="F165" s="17"/>
      <c r="G165" s="16"/>
      <c r="H165" s="18"/>
      <c r="I165" s="16"/>
      <c r="J165" s="16" t="str">
        <f aca="true">IF(E165="","",IF(F165&lt;&gt;"",F165-E165,TODAY()-E165))</f>
        <v/>
      </c>
      <c r="K165" s="16"/>
    </row>
    <row r="166" customFormat="false" ht="15" hidden="false" customHeight="false" outlineLevel="0" collapsed="false">
      <c r="A166" s="16"/>
      <c r="B166" s="16"/>
      <c r="C166" s="16"/>
      <c r="D166" s="16"/>
      <c r="E166" s="17"/>
      <c r="F166" s="17"/>
      <c r="G166" s="16"/>
      <c r="H166" s="18"/>
      <c r="I166" s="16"/>
      <c r="J166" s="16" t="str">
        <f aca="true">IF(E166="","",IF(F166&lt;&gt;"",F166-E166,TODAY()-E166))</f>
        <v/>
      </c>
      <c r="K166" s="16"/>
    </row>
    <row r="167" customFormat="false" ht="15" hidden="false" customHeight="false" outlineLevel="0" collapsed="false">
      <c r="A167" s="16"/>
      <c r="B167" s="16"/>
      <c r="C167" s="16"/>
      <c r="D167" s="16"/>
      <c r="E167" s="17"/>
      <c r="F167" s="17"/>
      <c r="G167" s="16"/>
      <c r="H167" s="18"/>
      <c r="I167" s="16"/>
      <c r="J167" s="16" t="str">
        <f aca="true">IF(E167="","",IF(F167&lt;&gt;"",F167-E167,TODAY()-E167))</f>
        <v/>
      </c>
      <c r="K167" s="16"/>
    </row>
    <row r="168" customFormat="false" ht="15" hidden="false" customHeight="false" outlineLevel="0" collapsed="false">
      <c r="A168" s="16"/>
      <c r="B168" s="16"/>
      <c r="C168" s="16"/>
      <c r="D168" s="16"/>
      <c r="E168" s="17"/>
      <c r="F168" s="17"/>
      <c r="G168" s="16"/>
      <c r="H168" s="18"/>
      <c r="I168" s="16"/>
      <c r="J168" s="16" t="str">
        <f aca="true">IF(E168="","",IF(F168&lt;&gt;"",F168-E168,TODAY()-E168))</f>
        <v/>
      </c>
      <c r="K168" s="16"/>
    </row>
    <row r="169" customFormat="false" ht="15" hidden="false" customHeight="false" outlineLevel="0" collapsed="false">
      <c r="A169" s="16"/>
      <c r="B169" s="16"/>
      <c r="C169" s="16"/>
      <c r="D169" s="16"/>
      <c r="E169" s="17"/>
      <c r="F169" s="17"/>
      <c r="G169" s="16"/>
      <c r="H169" s="18"/>
      <c r="I169" s="16"/>
      <c r="J169" s="16" t="str">
        <f aca="true">IF(E169="","",IF(F169&lt;&gt;"",F169-E169,TODAY()-E169))</f>
        <v/>
      </c>
      <c r="K169" s="16"/>
    </row>
    <row r="170" customFormat="false" ht="15" hidden="false" customHeight="false" outlineLevel="0" collapsed="false">
      <c r="A170" s="16"/>
      <c r="B170" s="16"/>
      <c r="C170" s="16"/>
      <c r="D170" s="16"/>
      <c r="E170" s="17"/>
      <c r="F170" s="17"/>
      <c r="G170" s="16"/>
      <c r="H170" s="18"/>
      <c r="I170" s="16"/>
      <c r="J170" s="16" t="str">
        <f aca="true">IF(E170="","",IF(F170&lt;&gt;"",F170-E170,TODAY()-E170))</f>
        <v/>
      </c>
      <c r="K170" s="16"/>
    </row>
    <row r="171" customFormat="false" ht="15" hidden="false" customHeight="false" outlineLevel="0" collapsed="false">
      <c r="A171" s="16"/>
      <c r="B171" s="16"/>
      <c r="C171" s="16"/>
      <c r="D171" s="16"/>
      <c r="E171" s="17"/>
      <c r="F171" s="17"/>
      <c r="G171" s="16"/>
      <c r="H171" s="18"/>
      <c r="I171" s="16"/>
      <c r="J171" s="16" t="str">
        <f aca="true">IF(E171="","",IF(F171&lt;&gt;"",F171-E171,TODAY()-E171))</f>
        <v/>
      </c>
      <c r="K171" s="16"/>
    </row>
    <row r="172" customFormat="false" ht="15" hidden="false" customHeight="false" outlineLevel="0" collapsed="false">
      <c r="A172" s="16"/>
      <c r="B172" s="16"/>
      <c r="C172" s="16"/>
      <c r="D172" s="16"/>
      <c r="E172" s="17"/>
      <c r="F172" s="17"/>
      <c r="G172" s="16"/>
      <c r="H172" s="18"/>
      <c r="I172" s="16"/>
      <c r="J172" s="16" t="str">
        <f aca="true">IF(E172="","",IF(F172&lt;&gt;"",F172-E172,TODAY()-E172))</f>
        <v/>
      </c>
      <c r="K172" s="16"/>
    </row>
    <row r="173" customFormat="false" ht="15" hidden="false" customHeight="false" outlineLevel="0" collapsed="false">
      <c r="A173" s="16"/>
      <c r="B173" s="16"/>
      <c r="C173" s="16"/>
      <c r="D173" s="16"/>
      <c r="E173" s="17"/>
      <c r="F173" s="17"/>
      <c r="G173" s="16"/>
      <c r="H173" s="18"/>
      <c r="I173" s="16"/>
      <c r="J173" s="16" t="str">
        <f aca="true">IF(E173="","",IF(F173&lt;&gt;"",F173-E173,TODAY()-E173))</f>
        <v/>
      </c>
      <c r="K173" s="16"/>
    </row>
    <row r="174" customFormat="false" ht="15" hidden="false" customHeight="false" outlineLevel="0" collapsed="false">
      <c r="A174" s="16"/>
      <c r="B174" s="16"/>
      <c r="C174" s="16"/>
      <c r="D174" s="16"/>
      <c r="E174" s="17"/>
      <c r="F174" s="17"/>
      <c r="G174" s="16"/>
      <c r="H174" s="18"/>
      <c r="I174" s="16"/>
      <c r="J174" s="16" t="str">
        <f aca="true">IF(E174="","",IF(F174&lt;&gt;"",F174-E174,TODAY()-E174))</f>
        <v/>
      </c>
      <c r="K174" s="16"/>
    </row>
    <row r="175" customFormat="false" ht="15" hidden="false" customHeight="false" outlineLevel="0" collapsed="false">
      <c r="A175" s="16"/>
      <c r="B175" s="16"/>
      <c r="C175" s="16"/>
      <c r="D175" s="16"/>
      <c r="E175" s="17"/>
      <c r="F175" s="17"/>
      <c r="G175" s="16"/>
      <c r="H175" s="18"/>
      <c r="I175" s="16"/>
      <c r="J175" s="16" t="str">
        <f aca="true">IF(E175="","",IF(F175&lt;&gt;"",F175-E175,TODAY()-E175))</f>
        <v/>
      </c>
      <c r="K175" s="16"/>
    </row>
    <row r="176" customFormat="false" ht="15" hidden="false" customHeight="false" outlineLevel="0" collapsed="false">
      <c r="A176" s="16"/>
      <c r="B176" s="16"/>
      <c r="C176" s="16"/>
      <c r="D176" s="16"/>
      <c r="E176" s="17"/>
      <c r="F176" s="17"/>
      <c r="G176" s="16"/>
      <c r="H176" s="18"/>
      <c r="I176" s="16"/>
      <c r="J176" s="16" t="str">
        <f aca="true">IF(E176="","",IF(F176&lt;&gt;"",F176-E176,TODAY()-E176))</f>
        <v/>
      </c>
      <c r="K176" s="16"/>
    </row>
    <row r="177" customFormat="false" ht="15" hidden="false" customHeight="false" outlineLevel="0" collapsed="false">
      <c r="A177" s="16"/>
      <c r="B177" s="16"/>
      <c r="C177" s="16"/>
      <c r="D177" s="16"/>
      <c r="E177" s="17"/>
      <c r="F177" s="17"/>
      <c r="G177" s="16"/>
      <c r="H177" s="18"/>
      <c r="I177" s="16"/>
      <c r="J177" s="16" t="str">
        <f aca="true">IF(E177="","",IF(F177&lt;&gt;"",F177-E177,TODAY()-E177))</f>
        <v/>
      </c>
      <c r="K177" s="16"/>
    </row>
    <row r="178" customFormat="false" ht="15" hidden="false" customHeight="false" outlineLevel="0" collapsed="false">
      <c r="A178" s="16"/>
      <c r="B178" s="16"/>
      <c r="C178" s="16"/>
      <c r="D178" s="16"/>
      <c r="E178" s="17"/>
      <c r="F178" s="17"/>
      <c r="G178" s="16"/>
      <c r="H178" s="18"/>
      <c r="I178" s="16"/>
      <c r="J178" s="16" t="str">
        <f aca="true">IF(E178="","",IF(F178&lt;&gt;"",F178-E178,TODAY()-E178))</f>
        <v/>
      </c>
      <c r="K178" s="16"/>
    </row>
    <row r="179" customFormat="false" ht="15" hidden="false" customHeight="false" outlineLevel="0" collapsed="false">
      <c r="A179" s="16"/>
      <c r="B179" s="16"/>
      <c r="C179" s="16"/>
      <c r="D179" s="16"/>
      <c r="E179" s="17"/>
      <c r="F179" s="17"/>
      <c r="G179" s="16"/>
      <c r="H179" s="18"/>
      <c r="I179" s="16"/>
      <c r="J179" s="16" t="str">
        <f aca="true">IF(E179="","",IF(F179&lt;&gt;"",F179-E179,TODAY()-E179))</f>
        <v/>
      </c>
      <c r="K179" s="16"/>
    </row>
    <row r="180" customFormat="false" ht="15" hidden="false" customHeight="false" outlineLevel="0" collapsed="false">
      <c r="A180" s="16"/>
      <c r="B180" s="16"/>
      <c r="C180" s="16"/>
      <c r="D180" s="16"/>
      <c r="E180" s="17"/>
      <c r="F180" s="17"/>
      <c r="G180" s="16"/>
      <c r="H180" s="18"/>
      <c r="I180" s="16"/>
      <c r="J180" s="16" t="str">
        <f aca="true">IF(E180="","",IF(F180&lt;&gt;"",F180-E180,TODAY()-E180))</f>
        <v/>
      </c>
      <c r="K180" s="16"/>
    </row>
    <row r="181" customFormat="false" ht="15" hidden="false" customHeight="false" outlineLevel="0" collapsed="false">
      <c r="A181" s="16"/>
      <c r="B181" s="16"/>
      <c r="C181" s="16"/>
      <c r="D181" s="16"/>
      <c r="E181" s="17"/>
      <c r="F181" s="17"/>
      <c r="G181" s="16"/>
      <c r="H181" s="18"/>
      <c r="I181" s="16"/>
      <c r="J181" s="16" t="str">
        <f aca="true">IF(E181="","",IF(F181&lt;&gt;"",F181-E181,TODAY()-E181))</f>
        <v/>
      </c>
      <c r="K181" s="16"/>
    </row>
    <row r="182" customFormat="false" ht="15" hidden="false" customHeight="false" outlineLevel="0" collapsed="false">
      <c r="A182" s="16"/>
      <c r="B182" s="16"/>
      <c r="C182" s="16"/>
      <c r="D182" s="16"/>
      <c r="E182" s="17"/>
      <c r="F182" s="17"/>
      <c r="G182" s="16"/>
      <c r="H182" s="18"/>
      <c r="I182" s="16"/>
      <c r="J182" s="16" t="str">
        <f aca="true">IF(E182="","",IF(F182&lt;&gt;"",F182-E182,TODAY()-E182))</f>
        <v/>
      </c>
      <c r="K182" s="16"/>
    </row>
    <row r="183" customFormat="false" ht="15" hidden="false" customHeight="false" outlineLevel="0" collapsed="false">
      <c r="A183" s="16"/>
      <c r="B183" s="16"/>
      <c r="C183" s="16"/>
      <c r="D183" s="16"/>
      <c r="E183" s="17"/>
      <c r="F183" s="17"/>
      <c r="G183" s="16"/>
      <c r="H183" s="18"/>
      <c r="I183" s="16"/>
      <c r="J183" s="16" t="str">
        <f aca="true">IF(E183="","",IF(F183&lt;&gt;"",F183-E183,TODAY()-E183))</f>
        <v/>
      </c>
      <c r="K183" s="16"/>
    </row>
    <row r="184" customFormat="false" ht="15" hidden="false" customHeight="false" outlineLevel="0" collapsed="false">
      <c r="A184" s="16"/>
      <c r="B184" s="16"/>
      <c r="C184" s="16"/>
      <c r="D184" s="16"/>
      <c r="E184" s="17"/>
      <c r="F184" s="17"/>
      <c r="G184" s="16"/>
      <c r="H184" s="18"/>
      <c r="I184" s="16"/>
      <c r="J184" s="16" t="str">
        <f aca="true">IF(E184="","",IF(F184&lt;&gt;"",F184-E184,TODAY()-E184))</f>
        <v/>
      </c>
      <c r="K184" s="16"/>
    </row>
    <row r="185" customFormat="false" ht="15" hidden="false" customHeight="false" outlineLevel="0" collapsed="false">
      <c r="A185" s="16"/>
      <c r="B185" s="16"/>
      <c r="C185" s="16"/>
      <c r="D185" s="16"/>
      <c r="E185" s="17"/>
      <c r="F185" s="17"/>
      <c r="G185" s="16"/>
      <c r="H185" s="18"/>
      <c r="I185" s="16"/>
      <c r="J185" s="16" t="str">
        <f aca="true">IF(E185="","",IF(F185&lt;&gt;"",F185-E185,TODAY()-E185))</f>
        <v/>
      </c>
      <c r="K185" s="16"/>
    </row>
    <row r="186" customFormat="false" ht="15" hidden="false" customHeight="false" outlineLevel="0" collapsed="false">
      <c r="A186" s="16"/>
      <c r="B186" s="16"/>
      <c r="C186" s="16"/>
      <c r="D186" s="16"/>
      <c r="E186" s="17"/>
      <c r="F186" s="17"/>
      <c r="G186" s="16"/>
      <c r="H186" s="18"/>
      <c r="I186" s="16"/>
      <c r="J186" s="16" t="str">
        <f aca="true">IF(E186="","",IF(F186&lt;&gt;"",F186-E186,TODAY()-E186))</f>
        <v/>
      </c>
      <c r="K186" s="16"/>
    </row>
    <row r="187" customFormat="false" ht="15" hidden="false" customHeight="false" outlineLevel="0" collapsed="false">
      <c r="A187" s="16"/>
      <c r="B187" s="16"/>
      <c r="C187" s="16"/>
      <c r="D187" s="16"/>
      <c r="E187" s="17"/>
      <c r="F187" s="17"/>
      <c r="G187" s="16"/>
      <c r="H187" s="18"/>
      <c r="I187" s="16"/>
      <c r="J187" s="16" t="str">
        <f aca="true">IF(E187="","",IF(F187&lt;&gt;"",F187-E187,TODAY()-E187))</f>
        <v/>
      </c>
      <c r="K187" s="16"/>
    </row>
    <row r="188" customFormat="false" ht="15" hidden="false" customHeight="false" outlineLevel="0" collapsed="false">
      <c r="A188" s="16"/>
      <c r="B188" s="16"/>
      <c r="C188" s="16"/>
      <c r="D188" s="16"/>
      <c r="E188" s="17"/>
      <c r="F188" s="17"/>
      <c r="G188" s="16"/>
      <c r="H188" s="18"/>
      <c r="I188" s="16"/>
      <c r="J188" s="16" t="str">
        <f aca="true">IF(E188="","",IF(F188&lt;&gt;"",F188-E188,TODAY()-E188))</f>
        <v/>
      </c>
      <c r="K188" s="16"/>
    </row>
    <row r="189" customFormat="false" ht="15" hidden="false" customHeight="false" outlineLevel="0" collapsed="false">
      <c r="A189" s="16"/>
      <c r="B189" s="16"/>
      <c r="C189" s="16"/>
      <c r="D189" s="16"/>
      <c r="E189" s="17"/>
      <c r="F189" s="17"/>
      <c r="G189" s="16"/>
      <c r="H189" s="18"/>
      <c r="I189" s="16"/>
      <c r="J189" s="16" t="str">
        <f aca="true">IF(E189="","",IF(F189&lt;&gt;"",F189-E189,TODAY()-E189))</f>
        <v/>
      </c>
      <c r="K189" s="16"/>
    </row>
    <row r="190" customFormat="false" ht="15" hidden="false" customHeight="false" outlineLevel="0" collapsed="false">
      <c r="A190" s="16"/>
      <c r="B190" s="16"/>
      <c r="C190" s="16"/>
      <c r="D190" s="16"/>
      <c r="E190" s="17"/>
      <c r="F190" s="17"/>
      <c r="G190" s="16"/>
      <c r="H190" s="18"/>
      <c r="I190" s="16"/>
      <c r="J190" s="16" t="str">
        <f aca="true">IF(E190="","",IF(F190&lt;&gt;"",F190-E190,TODAY()-E190))</f>
        <v/>
      </c>
      <c r="K190" s="16"/>
    </row>
    <row r="191" customFormat="false" ht="15" hidden="false" customHeight="false" outlineLevel="0" collapsed="false">
      <c r="A191" s="16"/>
      <c r="B191" s="16"/>
      <c r="C191" s="16"/>
      <c r="D191" s="16"/>
      <c r="E191" s="17"/>
      <c r="F191" s="17"/>
      <c r="G191" s="16"/>
      <c r="H191" s="18"/>
      <c r="I191" s="16"/>
      <c r="J191" s="16" t="str">
        <f aca="true">IF(E191="","",IF(F191&lt;&gt;"",F191-E191,TODAY()-E191))</f>
        <v/>
      </c>
      <c r="K191" s="16"/>
    </row>
    <row r="192" customFormat="false" ht="15" hidden="false" customHeight="false" outlineLevel="0" collapsed="false">
      <c r="A192" s="16"/>
      <c r="B192" s="16"/>
      <c r="C192" s="16"/>
      <c r="D192" s="16"/>
      <c r="E192" s="17"/>
      <c r="F192" s="17"/>
      <c r="G192" s="16"/>
      <c r="H192" s="18"/>
      <c r="I192" s="16"/>
      <c r="J192" s="16" t="str">
        <f aca="true">IF(E192="","",IF(F192&lt;&gt;"",F192-E192,TODAY()-E192))</f>
        <v/>
      </c>
      <c r="K192" s="16"/>
    </row>
    <row r="193" customFormat="false" ht="15" hidden="false" customHeight="false" outlineLevel="0" collapsed="false">
      <c r="A193" s="16"/>
      <c r="B193" s="16"/>
      <c r="C193" s="16"/>
      <c r="D193" s="16"/>
      <c r="E193" s="17"/>
      <c r="F193" s="17"/>
      <c r="G193" s="16"/>
      <c r="H193" s="18"/>
      <c r="I193" s="16"/>
      <c r="J193" s="16" t="str">
        <f aca="true">IF(E193="","",IF(F193&lt;&gt;"",F193-E193,TODAY()-E193))</f>
        <v/>
      </c>
      <c r="K193" s="16"/>
    </row>
    <row r="194" customFormat="false" ht="15" hidden="false" customHeight="false" outlineLevel="0" collapsed="false">
      <c r="A194" s="16"/>
      <c r="B194" s="16"/>
      <c r="C194" s="16"/>
      <c r="D194" s="16"/>
      <c r="E194" s="17"/>
      <c r="F194" s="17"/>
      <c r="G194" s="16"/>
      <c r="H194" s="18"/>
      <c r="I194" s="16"/>
      <c r="J194" s="16" t="str">
        <f aca="true">IF(E194="","",IF(F194&lt;&gt;"",F194-E194,TODAY()-E194))</f>
        <v/>
      </c>
      <c r="K194" s="16"/>
    </row>
    <row r="195" customFormat="false" ht="15" hidden="false" customHeight="false" outlineLevel="0" collapsed="false">
      <c r="A195" s="16"/>
      <c r="B195" s="16"/>
      <c r="C195" s="16"/>
      <c r="D195" s="16"/>
      <c r="E195" s="17"/>
      <c r="F195" s="17"/>
      <c r="G195" s="16"/>
      <c r="H195" s="18"/>
      <c r="I195" s="16"/>
      <c r="J195" s="16" t="str">
        <f aca="true">IF(E195="","",IF(F195&lt;&gt;"",F195-E195,TODAY()-E195))</f>
        <v/>
      </c>
      <c r="K195" s="16"/>
    </row>
    <row r="196" customFormat="false" ht="15" hidden="false" customHeight="false" outlineLevel="0" collapsed="false">
      <c r="A196" s="16"/>
      <c r="B196" s="16"/>
      <c r="C196" s="16"/>
      <c r="D196" s="16"/>
      <c r="E196" s="17"/>
      <c r="F196" s="17"/>
      <c r="G196" s="16"/>
      <c r="H196" s="18"/>
      <c r="I196" s="16"/>
      <c r="J196" s="16" t="str">
        <f aca="true">IF(E196="","",IF(F196&lt;&gt;"",F196-E196,TODAY()-E196))</f>
        <v/>
      </c>
      <c r="K196" s="16"/>
    </row>
    <row r="197" customFormat="false" ht="15" hidden="false" customHeight="false" outlineLevel="0" collapsed="false">
      <c r="A197" s="16"/>
      <c r="B197" s="16"/>
      <c r="C197" s="16"/>
      <c r="D197" s="16"/>
      <c r="E197" s="17"/>
      <c r="F197" s="17"/>
      <c r="G197" s="16"/>
      <c r="H197" s="18"/>
      <c r="I197" s="16"/>
      <c r="J197" s="16" t="str">
        <f aca="true">IF(E197="","",IF(F197&lt;&gt;"",F197-E197,TODAY()-E197))</f>
        <v/>
      </c>
      <c r="K197" s="16"/>
    </row>
    <row r="198" customFormat="false" ht="15" hidden="false" customHeight="false" outlineLevel="0" collapsed="false">
      <c r="A198" s="16"/>
      <c r="B198" s="16"/>
      <c r="C198" s="16"/>
      <c r="D198" s="16"/>
      <c r="E198" s="17"/>
      <c r="F198" s="17"/>
      <c r="G198" s="16"/>
      <c r="H198" s="18"/>
      <c r="I198" s="16"/>
      <c r="J198" s="16" t="str">
        <f aca="true">IF(E198="","",IF(F198&lt;&gt;"",F198-E198,TODAY()-E198))</f>
        <v/>
      </c>
      <c r="K198" s="16"/>
    </row>
    <row r="199" customFormat="false" ht="15" hidden="false" customHeight="false" outlineLevel="0" collapsed="false">
      <c r="A199" s="16"/>
      <c r="B199" s="16"/>
      <c r="C199" s="16"/>
      <c r="D199" s="16"/>
      <c r="E199" s="17"/>
      <c r="F199" s="17"/>
      <c r="G199" s="16"/>
      <c r="H199" s="18"/>
      <c r="I199" s="16"/>
      <c r="J199" s="16" t="str">
        <f aca="true">IF(E199="","",IF(F199&lt;&gt;"",F199-E199,TODAY()-E199))</f>
        <v/>
      </c>
      <c r="K199" s="16"/>
    </row>
    <row r="200" customFormat="false" ht="15" hidden="false" customHeight="false" outlineLevel="0" collapsed="false">
      <c r="A200" s="16"/>
      <c r="B200" s="16"/>
      <c r="C200" s="16"/>
      <c r="D200" s="16"/>
      <c r="E200" s="17"/>
      <c r="F200" s="17"/>
      <c r="G200" s="16"/>
      <c r="H200" s="18"/>
      <c r="I200" s="16"/>
      <c r="J200" s="16" t="str">
        <f aca="true">IF(E200="","",IF(F200&lt;&gt;"",F200-E200,TODAY()-E200))</f>
        <v/>
      </c>
      <c r="K200" s="16"/>
    </row>
    <row r="201" customFormat="false" ht="15" hidden="false" customHeight="false" outlineLevel="0" collapsed="false">
      <c r="A201" s="16"/>
      <c r="B201" s="16"/>
      <c r="C201" s="16"/>
      <c r="D201" s="16"/>
      <c r="E201" s="17"/>
      <c r="F201" s="17"/>
      <c r="G201" s="16"/>
      <c r="H201" s="18"/>
      <c r="I201" s="16"/>
      <c r="J201" s="16" t="str">
        <f aca="true">IF(E201="","",IF(F201&lt;&gt;"",F201-E201,TODAY()-E201))</f>
        <v/>
      </c>
      <c r="K201" s="16"/>
    </row>
    <row r="202" customFormat="false" ht="15" hidden="false" customHeight="false" outlineLevel="0" collapsed="false">
      <c r="A202" s="16"/>
      <c r="B202" s="16"/>
      <c r="C202" s="16"/>
      <c r="D202" s="16"/>
      <c r="E202" s="17"/>
      <c r="F202" s="17"/>
      <c r="G202" s="16"/>
      <c r="H202" s="18"/>
      <c r="I202" s="16"/>
      <c r="J202" s="16" t="str">
        <f aca="true">IF(E202="","",IF(F202&lt;&gt;"",F202-E202,TODAY()-E202))</f>
        <v/>
      </c>
      <c r="K202" s="16"/>
    </row>
    <row r="203" customFormat="false" ht="15" hidden="false" customHeight="false" outlineLevel="0" collapsed="false">
      <c r="A203" s="16"/>
      <c r="B203" s="16"/>
      <c r="C203" s="16"/>
      <c r="D203" s="16"/>
      <c r="E203" s="17"/>
      <c r="F203" s="17"/>
      <c r="G203" s="16"/>
      <c r="H203" s="18"/>
      <c r="I203" s="16"/>
      <c r="J203" s="16" t="str">
        <f aca="true">IF(E203="","",IF(F203&lt;&gt;"",F203-E203,TODAY()-E203))</f>
        <v/>
      </c>
      <c r="K203" s="16"/>
    </row>
    <row r="204" customFormat="false" ht="15" hidden="false" customHeight="false" outlineLevel="0" collapsed="false">
      <c r="A204" s="16"/>
      <c r="B204" s="16"/>
      <c r="C204" s="16"/>
      <c r="D204" s="16"/>
      <c r="E204" s="17"/>
      <c r="F204" s="17"/>
      <c r="G204" s="16"/>
      <c r="H204" s="18"/>
      <c r="I204" s="16"/>
      <c r="J204" s="16" t="str">
        <f aca="true">IF(E204="","",IF(F204&lt;&gt;"",F204-E204,TODAY()-E204))</f>
        <v/>
      </c>
      <c r="K204" s="16"/>
    </row>
    <row r="205" customFormat="false" ht="15" hidden="false" customHeight="false" outlineLevel="0" collapsed="false">
      <c r="A205" s="16"/>
      <c r="B205" s="16"/>
      <c r="C205" s="16"/>
      <c r="D205" s="16"/>
      <c r="E205" s="17"/>
      <c r="F205" s="17"/>
      <c r="G205" s="16"/>
      <c r="H205" s="18"/>
      <c r="I205" s="16"/>
      <c r="J205" s="16" t="str">
        <f aca="true">IF(E205="","",IF(F205&lt;&gt;"",F205-E205,TODAY()-E205))</f>
        <v/>
      </c>
      <c r="K205" s="16"/>
    </row>
    <row r="206" customFormat="false" ht="15" hidden="false" customHeight="false" outlineLevel="0" collapsed="false">
      <c r="A206" s="16"/>
      <c r="B206" s="16"/>
      <c r="C206" s="16"/>
      <c r="D206" s="16"/>
      <c r="E206" s="17"/>
      <c r="F206" s="17"/>
      <c r="G206" s="16"/>
      <c r="H206" s="18"/>
      <c r="I206" s="16"/>
      <c r="J206" s="16" t="str">
        <f aca="true">IF(E206="","",IF(F206&lt;&gt;"",F206-E206,TODAY()-E206))</f>
        <v/>
      </c>
      <c r="K206" s="16"/>
    </row>
    <row r="207" customFormat="false" ht="15" hidden="false" customHeight="false" outlineLevel="0" collapsed="false">
      <c r="A207" s="16"/>
      <c r="B207" s="16"/>
      <c r="C207" s="16"/>
      <c r="D207" s="16"/>
      <c r="E207" s="17"/>
      <c r="F207" s="17"/>
      <c r="G207" s="16"/>
      <c r="H207" s="18"/>
      <c r="I207" s="16"/>
      <c r="J207" s="16" t="str">
        <f aca="true">IF(E207="","",IF(F207&lt;&gt;"",F207-E207,TODAY()-E207))</f>
        <v/>
      </c>
      <c r="K207" s="16"/>
    </row>
    <row r="208" customFormat="false" ht="15" hidden="false" customHeight="false" outlineLevel="0" collapsed="false">
      <c r="A208" s="16"/>
      <c r="B208" s="16"/>
      <c r="C208" s="16"/>
      <c r="D208" s="16"/>
      <c r="E208" s="17"/>
      <c r="F208" s="17"/>
      <c r="G208" s="16"/>
      <c r="H208" s="18"/>
      <c r="I208" s="16"/>
      <c r="J208" s="16" t="str">
        <f aca="true">IF(E208="","",IF(F208&lt;&gt;"",F208-E208,TODAY()-E208))</f>
        <v/>
      </c>
      <c r="K208" s="16"/>
    </row>
    <row r="209" customFormat="false" ht="15" hidden="false" customHeight="false" outlineLevel="0" collapsed="false">
      <c r="A209" s="16"/>
      <c r="B209" s="16"/>
      <c r="C209" s="16"/>
      <c r="D209" s="16"/>
      <c r="E209" s="17"/>
      <c r="F209" s="17"/>
      <c r="G209" s="16"/>
      <c r="H209" s="18"/>
      <c r="I209" s="16"/>
      <c r="J209" s="16" t="str">
        <f aca="true">IF(E209="","",IF(F209&lt;&gt;"",F209-E209,TODAY()-E209))</f>
        <v/>
      </c>
      <c r="K209" s="16"/>
    </row>
    <row r="210" customFormat="false" ht="15" hidden="false" customHeight="false" outlineLevel="0" collapsed="false">
      <c r="A210" s="16"/>
      <c r="B210" s="16"/>
      <c r="C210" s="16"/>
      <c r="D210" s="16"/>
      <c r="E210" s="17"/>
      <c r="F210" s="17"/>
      <c r="G210" s="16"/>
      <c r="H210" s="18"/>
      <c r="I210" s="16"/>
      <c r="J210" s="16" t="str">
        <f aca="true">IF(E210="","",IF(F210&lt;&gt;"",F210-E210,TODAY()-E210))</f>
        <v/>
      </c>
      <c r="K210" s="16"/>
    </row>
    <row r="211" customFormat="false" ht="15" hidden="false" customHeight="false" outlineLevel="0" collapsed="false">
      <c r="A211" s="16"/>
      <c r="B211" s="16"/>
      <c r="C211" s="16"/>
      <c r="D211" s="16"/>
      <c r="E211" s="17"/>
      <c r="F211" s="17"/>
      <c r="G211" s="16"/>
      <c r="H211" s="18"/>
      <c r="I211" s="16"/>
      <c r="J211" s="16" t="str">
        <f aca="true">IF(E211="","",IF(F211&lt;&gt;"",F211-E211,TODAY()-E211))</f>
        <v/>
      </c>
      <c r="K211" s="16"/>
    </row>
    <row r="212" customFormat="false" ht="15" hidden="false" customHeight="false" outlineLevel="0" collapsed="false">
      <c r="A212" s="16"/>
      <c r="B212" s="16"/>
      <c r="C212" s="16"/>
      <c r="D212" s="16"/>
      <c r="E212" s="17"/>
      <c r="F212" s="17"/>
      <c r="G212" s="16"/>
      <c r="H212" s="18"/>
      <c r="I212" s="16"/>
      <c r="J212" s="16" t="str">
        <f aca="true">IF(E212="","",IF(F212&lt;&gt;"",F212-E212,TODAY()-E212))</f>
        <v/>
      </c>
      <c r="K212" s="16"/>
    </row>
    <row r="213" customFormat="false" ht="15" hidden="false" customHeight="false" outlineLevel="0" collapsed="false">
      <c r="A213" s="16"/>
      <c r="B213" s="16"/>
      <c r="C213" s="16"/>
      <c r="D213" s="16"/>
      <c r="E213" s="17"/>
      <c r="F213" s="17"/>
      <c r="G213" s="16"/>
      <c r="H213" s="18"/>
      <c r="I213" s="16"/>
      <c r="J213" s="16" t="str">
        <f aca="true">IF(E213="","",IF(F213&lt;&gt;"",F213-E213,TODAY()-E213))</f>
        <v/>
      </c>
      <c r="K213" s="16"/>
    </row>
    <row r="214" customFormat="false" ht="15" hidden="false" customHeight="false" outlineLevel="0" collapsed="false">
      <c r="A214" s="16"/>
      <c r="B214" s="16"/>
      <c r="C214" s="16"/>
      <c r="D214" s="16"/>
      <c r="E214" s="17"/>
      <c r="F214" s="17"/>
      <c r="G214" s="16"/>
      <c r="H214" s="18"/>
      <c r="I214" s="16"/>
      <c r="J214" s="16" t="str">
        <f aca="true">IF(E214="","",IF(F214&lt;&gt;"",F214-E214,TODAY()-E214))</f>
        <v/>
      </c>
      <c r="K214" s="16"/>
    </row>
    <row r="215" customFormat="false" ht="15" hidden="false" customHeight="false" outlineLevel="0" collapsed="false">
      <c r="A215" s="16"/>
      <c r="B215" s="16"/>
      <c r="C215" s="16"/>
      <c r="D215" s="16"/>
      <c r="E215" s="17"/>
      <c r="F215" s="17"/>
      <c r="G215" s="16"/>
      <c r="H215" s="18"/>
      <c r="I215" s="16"/>
      <c r="J215" s="16" t="str">
        <f aca="true">IF(E215="","",IF(F215&lt;&gt;"",F215-E215,TODAY()-E215))</f>
        <v/>
      </c>
      <c r="K215" s="16"/>
    </row>
    <row r="216" customFormat="false" ht="15" hidden="false" customHeight="false" outlineLevel="0" collapsed="false">
      <c r="A216" s="16"/>
      <c r="B216" s="16"/>
      <c r="C216" s="16"/>
      <c r="D216" s="16"/>
      <c r="E216" s="17"/>
      <c r="F216" s="17"/>
      <c r="G216" s="16"/>
      <c r="H216" s="18"/>
      <c r="I216" s="16"/>
      <c r="J216" s="16" t="str">
        <f aca="true">IF(E216="","",IF(F216&lt;&gt;"",F216-E216,TODAY()-E216))</f>
        <v/>
      </c>
      <c r="K216" s="16"/>
    </row>
    <row r="217" customFormat="false" ht="15" hidden="false" customHeight="false" outlineLevel="0" collapsed="false">
      <c r="A217" s="16"/>
      <c r="B217" s="16"/>
      <c r="C217" s="16"/>
      <c r="D217" s="16"/>
      <c r="E217" s="17"/>
      <c r="F217" s="17"/>
      <c r="G217" s="16"/>
      <c r="H217" s="18"/>
      <c r="I217" s="16"/>
      <c r="J217" s="16" t="str">
        <f aca="true">IF(E217="","",IF(F217&lt;&gt;"",F217-E217,TODAY()-E217))</f>
        <v/>
      </c>
      <c r="K217" s="16"/>
    </row>
    <row r="218" customFormat="false" ht="15" hidden="false" customHeight="false" outlineLevel="0" collapsed="false">
      <c r="A218" s="16"/>
      <c r="B218" s="16"/>
      <c r="C218" s="16"/>
      <c r="D218" s="16"/>
      <c r="E218" s="17"/>
      <c r="F218" s="17"/>
      <c r="G218" s="16"/>
      <c r="H218" s="18"/>
      <c r="I218" s="16"/>
      <c r="J218" s="16" t="str">
        <f aca="true">IF(E218="","",IF(F218&lt;&gt;"",F218-E218,TODAY()-E218))</f>
        <v/>
      </c>
      <c r="K218" s="16"/>
    </row>
    <row r="219" customFormat="false" ht="15" hidden="false" customHeight="false" outlineLevel="0" collapsed="false">
      <c r="A219" s="16"/>
      <c r="B219" s="16"/>
      <c r="C219" s="16"/>
      <c r="D219" s="16"/>
      <c r="E219" s="17"/>
      <c r="F219" s="17"/>
      <c r="G219" s="16"/>
      <c r="H219" s="18"/>
      <c r="I219" s="16"/>
      <c r="J219" s="16" t="str">
        <f aca="true">IF(E219="","",IF(F219&lt;&gt;"",F219-E219,TODAY()-E219))</f>
        <v/>
      </c>
      <c r="K219" s="16"/>
    </row>
    <row r="220" customFormat="false" ht="15" hidden="false" customHeight="false" outlineLevel="0" collapsed="false">
      <c r="A220" s="16"/>
      <c r="B220" s="16"/>
      <c r="C220" s="16"/>
      <c r="D220" s="16"/>
      <c r="E220" s="17"/>
      <c r="F220" s="17"/>
      <c r="G220" s="16"/>
      <c r="H220" s="18"/>
      <c r="I220" s="16"/>
      <c r="J220" s="16" t="str">
        <f aca="true">IF(E220="","",IF(F220&lt;&gt;"",F220-E220,TODAY()-E220))</f>
        <v/>
      </c>
      <c r="K220" s="16"/>
    </row>
    <row r="221" customFormat="false" ht="15" hidden="false" customHeight="false" outlineLevel="0" collapsed="false">
      <c r="A221" s="16"/>
      <c r="B221" s="16"/>
      <c r="C221" s="16"/>
      <c r="D221" s="16"/>
      <c r="E221" s="17"/>
      <c r="F221" s="17"/>
      <c r="G221" s="16"/>
      <c r="H221" s="18"/>
      <c r="I221" s="16"/>
      <c r="J221" s="16" t="str">
        <f aca="true">IF(E221="","",IF(F221&lt;&gt;"",F221-E221,TODAY()-E221))</f>
        <v/>
      </c>
      <c r="K221" s="16"/>
    </row>
    <row r="222" customFormat="false" ht="15" hidden="false" customHeight="false" outlineLevel="0" collapsed="false">
      <c r="A222" s="16"/>
      <c r="B222" s="16"/>
      <c r="C222" s="16"/>
      <c r="D222" s="16"/>
      <c r="E222" s="17"/>
      <c r="F222" s="17"/>
      <c r="G222" s="16"/>
      <c r="H222" s="18"/>
      <c r="I222" s="16"/>
      <c r="J222" s="16" t="str">
        <f aca="true">IF(E222="","",IF(F222&lt;&gt;"",F222-E222,TODAY()-E222))</f>
        <v/>
      </c>
      <c r="K222" s="16"/>
    </row>
    <row r="223" customFormat="false" ht="15" hidden="false" customHeight="false" outlineLevel="0" collapsed="false">
      <c r="A223" s="16"/>
      <c r="B223" s="16"/>
      <c r="C223" s="16"/>
      <c r="D223" s="16"/>
      <c r="E223" s="17"/>
      <c r="F223" s="17"/>
      <c r="G223" s="16"/>
      <c r="H223" s="18"/>
      <c r="I223" s="16"/>
      <c r="J223" s="16" t="str">
        <f aca="true">IF(E223="","",IF(F223&lt;&gt;"",F223-E223,TODAY()-E223))</f>
        <v/>
      </c>
      <c r="K223" s="16"/>
    </row>
    <row r="224" customFormat="false" ht="15" hidden="false" customHeight="false" outlineLevel="0" collapsed="false">
      <c r="A224" s="16"/>
      <c r="B224" s="16"/>
      <c r="C224" s="16"/>
      <c r="D224" s="16"/>
      <c r="E224" s="17"/>
      <c r="F224" s="17"/>
      <c r="G224" s="16"/>
      <c r="H224" s="18"/>
      <c r="I224" s="16"/>
      <c r="J224" s="16" t="str">
        <f aca="true">IF(E224="","",IF(F224&lt;&gt;"",F224-E224,TODAY()-E224))</f>
        <v/>
      </c>
      <c r="K224" s="16"/>
    </row>
    <row r="225" customFormat="false" ht="15" hidden="false" customHeight="false" outlineLevel="0" collapsed="false">
      <c r="A225" s="16"/>
      <c r="B225" s="16"/>
      <c r="C225" s="16"/>
      <c r="D225" s="16"/>
      <c r="E225" s="17"/>
      <c r="F225" s="17"/>
      <c r="G225" s="16"/>
      <c r="H225" s="18"/>
      <c r="I225" s="16"/>
      <c r="J225" s="16" t="str">
        <f aca="true">IF(E225="","",IF(F225&lt;&gt;"",F225-E225,TODAY()-E225))</f>
        <v/>
      </c>
      <c r="K225" s="16"/>
    </row>
    <row r="226" customFormat="false" ht="15" hidden="false" customHeight="false" outlineLevel="0" collapsed="false">
      <c r="A226" s="16"/>
      <c r="B226" s="16"/>
      <c r="C226" s="16"/>
      <c r="D226" s="16"/>
      <c r="E226" s="17"/>
      <c r="F226" s="17"/>
      <c r="G226" s="16"/>
      <c r="H226" s="18"/>
      <c r="I226" s="16"/>
      <c r="J226" s="16" t="str">
        <f aca="true">IF(E226="","",IF(F226&lt;&gt;"",F226-E226,TODAY()-E226))</f>
        <v/>
      </c>
      <c r="K226" s="16"/>
    </row>
    <row r="227" customFormat="false" ht="15" hidden="false" customHeight="false" outlineLevel="0" collapsed="false">
      <c r="A227" s="16"/>
      <c r="B227" s="16"/>
      <c r="C227" s="16"/>
      <c r="D227" s="16"/>
      <c r="E227" s="17"/>
      <c r="F227" s="17"/>
      <c r="G227" s="16"/>
      <c r="H227" s="18"/>
      <c r="I227" s="16"/>
      <c r="J227" s="16" t="str">
        <f aca="true">IF(E227="","",IF(F227&lt;&gt;"",F227-E227,TODAY()-E227))</f>
        <v/>
      </c>
      <c r="K227" s="16"/>
    </row>
    <row r="228" customFormat="false" ht="15" hidden="false" customHeight="false" outlineLevel="0" collapsed="false">
      <c r="A228" s="16"/>
      <c r="B228" s="16"/>
      <c r="C228" s="16"/>
      <c r="D228" s="16"/>
      <c r="E228" s="17"/>
      <c r="F228" s="17"/>
      <c r="G228" s="16"/>
      <c r="H228" s="18"/>
      <c r="I228" s="16"/>
      <c r="J228" s="16" t="str">
        <f aca="true">IF(E228="","",IF(F228&lt;&gt;"",F228-E228,TODAY()-E228))</f>
        <v/>
      </c>
      <c r="K228" s="16"/>
    </row>
    <row r="229" customFormat="false" ht="15" hidden="false" customHeight="false" outlineLevel="0" collapsed="false">
      <c r="A229" s="16"/>
      <c r="B229" s="16"/>
      <c r="C229" s="16"/>
      <c r="D229" s="16"/>
      <c r="E229" s="17"/>
      <c r="F229" s="17"/>
      <c r="G229" s="16"/>
      <c r="H229" s="18"/>
      <c r="I229" s="16"/>
      <c r="J229" s="16" t="str">
        <f aca="true">IF(E229="","",IF(F229&lt;&gt;"",F229-E229,TODAY()-E229))</f>
        <v/>
      </c>
      <c r="K229" s="16"/>
    </row>
    <row r="230" customFormat="false" ht="15" hidden="false" customHeight="false" outlineLevel="0" collapsed="false">
      <c r="A230" s="16"/>
      <c r="B230" s="16"/>
      <c r="C230" s="16"/>
      <c r="D230" s="16"/>
      <c r="E230" s="17"/>
      <c r="F230" s="17"/>
      <c r="G230" s="16"/>
      <c r="H230" s="18"/>
      <c r="I230" s="16"/>
      <c r="J230" s="16" t="str">
        <f aca="true">IF(E230="","",IF(F230&lt;&gt;"",F230-E230,TODAY()-E230))</f>
        <v/>
      </c>
      <c r="K230" s="16"/>
    </row>
    <row r="231" customFormat="false" ht="15" hidden="false" customHeight="false" outlineLevel="0" collapsed="false">
      <c r="A231" s="16"/>
      <c r="B231" s="16"/>
      <c r="C231" s="16"/>
      <c r="D231" s="16"/>
      <c r="E231" s="17"/>
      <c r="F231" s="17"/>
      <c r="G231" s="16"/>
      <c r="H231" s="18"/>
      <c r="I231" s="16"/>
      <c r="J231" s="16" t="str">
        <f aca="true">IF(E231="","",IF(F231&lt;&gt;"",F231-E231,TODAY()-E231))</f>
        <v/>
      </c>
      <c r="K231" s="16"/>
    </row>
    <row r="232" customFormat="false" ht="15" hidden="false" customHeight="false" outlineLevel="0" collapsed="false">
      <c r="A232" s="16"/>
      <c r="B232" s="16"/>
      <c r="C232" s="16"/>
      <c r="D232" s="16"/>
      <c r="E232" s="17"/>
      <c r="F232" s="17"/>
      <c r="G232" s="16"/>
      <c r="H232" s="18"/>
      <c r="I232" s="16"/>
      <c r="J232" s="16" t="str">
        <f aca="true">IF(E232="","",IF(F232&lt;&gt;"",F232-E232,TODAY()-E232))</f>
        <v/>
      </c>
      <c r="K232" s="16"/>
    </row>
    <row r="233" customFormat="false" ht="15" hidden="false" customHeight="false" outlineLevel="0" collapsed="false">
      <c r="A233" s="16"/>
      <c r="B233" s="16"/>
      <c r="C233" s="16"/>
      <c r="D233" s="16"/>
      <c r="E233" s="17"/>
      <c r="F233" s="17"/>
      <c r="G233" s="16"/>
      <c r="H233" s="18"/>
      <c r="I233" s="16"/>
      <c r="J233" s="16" t="str">
        <f aca="true">IF(E233="","",IF(F233&lt;&gt;"",F233-E233,TODAY()-E233))</f>
        <v/>
      </c>
      <c r="K233" s="16"/>
    </row>
    <row r="234" customFormat="false" ht="15" hidden="false" customHeight="false" outlineLevel="0" collapsed="false">
      <c r="A234" s="16"/>
      <c r="B234" s="16"/>
      <c r="C234" s="16"/>
      <c r="D234" s="16"/>
      <c r="E234" s="17"/>
      <c r="F234" s="17"/>
      <c r="G234" s="16"/>
      <c r="H234" s="18"/>
      <c r="I234" s="16"/>
      <c r="J234" s="16" t="str">
        <f aca="true">IF(E234="","",IF(F234&lt;&gt;"",F234-E234,TODAY()-E234))</f>
        <v/>
      </c>
      <c r="K234" s="16"/>
    </row>
    <row r="235" customFormat="false" ht="15" hidden="false" customHeight="false" outlineLevel="0" collapsed="false">
      <c r="A235" s="16"/>
      <c r="B235" s="16"/>
      <c r="C235" s="16"/>
      <c r="D235" s="16"/>
      <c r="E235" s="17"/>
      <c r="F235" s="17"/>
      <c r="G235" s="16"/>
      <c r="H235" s="18"/>
      <c r="I235" s="16"/>
      <c r="J235" s="16" t="str">
        <f aca="true">IF(E235="","",IF(F235&lt;&gt;"",F235-E235,TODAY()-E235))</f>
        <v/>
      </c>
      <c r="K235" s="16"/>
    </row>
    <row r="236" customFormat="false" ht="15" hidden="false" customHeight="false" outlineLevel="0" collapsed="false">
      <c r="A236" s="16"/>
      <c r="B236" s="16"/>
      <c r="C236" s="16"/>
      <c r="D236" s="16"/>
      <c r="E236" s="17"/>
      <c r="F236" s="17"/>
      <c r="G236" s="16"/>
      <c r="H236" s="18"/>
      <c r="I236" s="16"/>
      <c r="J236" s="16" t="str">
        <f aca="true">IF(E236="","",IF(F236&lt;&gt;"",F236-E236,TODAY()-E236))</f>
        <v/>
      </c>
      <c r="K236" s="16"/>
    </row>
    <row r="237" customFormat="false" ht="15" hidden="false" customHeight="false" outlineLevel="0" collapsed="false">
      <c r="A237" s="16"/>
      <c r="B237" s="16"/>
      <c r="C237" s="16"/>
      <c r="D237" s="16"/>
      <c r="E237" s="17"/>
      <c r="F237" s="17"/>
      <c r="G237" s="16"/>
      <c r="H237" s="18"/>
      <c r="I237" s="16"/>
      <c r="J237" s="16" t="str">
        <f aca="true">IF(E237="","",IF(F237&lt;&gt;"",F237-E237,TODAY()-E237))</f>
        <v/>
      </c>
      <c r="K237" s="16"/>
    </row>
    <row r="238" customFormat="false" ht="15" hidden="false" customHeight="false" outlineLevel="0" collapsed="false">
      <c r="A238" s="16"/>
      <c r="B238" s="16"/>
      <c r="C238" s="16"/>
      <c r="D238" s="16"/>
      <c r="E238" s="17"/>
      <c r="F238" s="17"/>
      <c r="G238" s="16"/>
      <c r="H238" s="18"/>
      <c r="I238" s="16"/>
      <c r="J238" s="16" t="str">
        <f aca="true">IF(E238="","",IF(F238&lt;&gt;"",F238-E238,TODAY()-E238))</f>
        <v/>
      </c>
      <c r="K238" s="16"/>
    </row>
    <row r="239" customFormat="false" ht="15" hidden="false" customHeight="false" outlineLevel="0" collapsed="false">
      <c r="A239" s="16"/>
      <c r="B239" s="16"/>
      <c r="C239" s="16"/>
      <c r="D239" s="16"/>
      <c r="E239" s="17"/>
      <c r="F239" s="17"/>
      <c r="G239" s="16"/>
      <c r="H239" s="18"/>
      <c r="I239" s="16"/>
      <c r="J239" s="16" t="str">
        <f aca="true">IF(E239="","",IF(F239&lt;&gt;"",F239-E239,TODAY()-E239))</f>
        <v/>
      </c>
      <c r="K239" s="16"/>
    </row>
    <row r="240" customFormat="false" ht="15" hidden="false" customHeight="false" outlineLevel="0" collapsed="false">
      <c r="A240" s="16"/>
      <c r="B240" s="16"/>
      <c r="C240" s="16"/>
      <c r="D240" s="16"/>
      <c r="E240" s="17"/>
      <c r="F240" s="17"/>
      <c r="G240" s="16"/>
      <c r="H240" s="18"/>
      <c r="I240" s="16"/>
      <c r="J240" s="16" t="str">
        <f aca="true">IF(E240="","",IF(F240&lt;&gt;"",F240-E240,TODAY()-E240))</f>
        <v/>
      </c>
      <c r="K240" s="16"/>
    </row>
    <row r="241" customFormat="false" ht="15" hidden="false" customHeight="false" outlineLevel="0" collapsed="false">
      <c r="A241" s="16"/>
      <c r="B241" s="16"/>
      <c r="C241" s="16"/>
      <c r="D241" s="16"/>
      <c r="E241" s="17"/>
      <c r="F241" s="17"/>
      <c r="G241" s="16"/>
      <c r="H241" s="18"/>
      <c r="I241" s="16"/>
      <c r="J241" s="16" t="str">
        <f aca="true">IF(E241="","",IF(F241&lt;&gt;"",F241-E241,TODAY()-E241))</f>
        <v/>
      </c>
      <c r="K241" s="16"/>
    </row>
    <row r="242" customFormat="false" ht="15" hidden="false" customHeight="false" outlineLevel="0" collapsed="false">
      <c r="A242" s="16"/>
      <c r="B242" s="16"/>
      <c r="C242" s="16"/>
      <c r="D242" s="16"/>
      <c r="E242" s="17"/>
      <c r="F242" s="17"/>
      <c r="G242" s="16"/>
      <c r="H242" s="18"/>
      <c r="I242" s="16"/>
      <c r="J242" s="16" t="str">
        <f aca="true">IF(E242="","",IF(F242&lt;&gt;"",F242-E242,TODAY()-E242))</f>
        <v/>
      </c>
      <c r="K242" s="16"/>
    </row>
    <row r="243" customFormat="false" ht="15" hidden="false" customHeight="false" outlineLevel="0" collapsed="false">
      <c r="A243" s="16"/>
      <c r="B243" s="16"/>
      <c r="C243" s="16"/>
      <c r="D243" s="16"/>
      <c r="E243" s="17"/>
      <c r="F243" s="17"/>
      <c r="G243" s="16"/>
      <c r="H243" s="18"/>
      <c r="I243" s="16"/>
      <c r="J243" s="16" t="str">
        <f aca="true">IF(E243="","",IF(F243&lt;&gt;"",F243-E243,TODAY()-E243))</f>
        <v/>
      </c>
      <c r="K243" s="16"/>
    </row>
    <row r="244" customFormat="false" ht="15" hidden="false" customHeight="false" outlineLevel="0" collapsed="false">
      <c r="A244" s="16"/>
      <c r="B244" s="16"/>
      <c r="C244" s="16"/>
      <c r="D244" s="16"/>
      <c r="E244" s="17"/>
      <c r="F244" s="17"/>
      <c r="G244" s="16"/>
      <c r="H244" s="18"/>
      <c r="I244" s="16"/>
      <c r="J244" s="16" t="str">
        <f aca="true">IF(E244="","",IF(F244&lt;&gt;"",F244-E244,TODAY()-E244))</f>
        <v/>
      </c>
      <c r="K244" s="16"/>
    </row>
    <row r="245" customFormat="false" ht="15" hidden="false" customHeight="false" outlineLevel="0" collapsed="false">
      <c r="A245" s="16"/>
      <c r="B245" s="16"/>
      <c r="C245" s="16"/>
      <c r="D245" s="16"/>
      <c r="E245" s="17"/>
      <c r="F245" s="17"/>
      <c r="G245" s="16"/>
      <c r="H245" s="18"/>
      <c r="I245" s="16"/>
      <c r="J245" s="16" t="str">
        <f aca="true">IF(E245="","",IF(F245&lt;&gt;"",F245-E245,TODAY()-E245))</f>
        <v/>
      </c>
      <c r="K245" s="16"/>
    </row>
    <row r="246" customFormat="false" ht="15" hidden="false" customHeight="false" outlineLevel="0" collapsed="false">
      <c r="A246" s="16"/>
      <c r="B246" s="16"/>
      <c r="C246" s="16"/>
      <c r="D246" s="16"/>
      <c r="E246" s="17"/>
      <c r="F246" s="17"/>
      <c r="G246" s="16"/>
      <c r="H246" s="18"/>
      <c r="I246" s="16"/>
      <c r="J246" s="16" t="str">
        <f aca="true">IF(E246="","",IF(F246&lt;&gt;"",F246-E246,TODAY()-E246))</f>
        <v/>
      </c>
      <c r="K246" s="16"/>
    </row>
    <row r="247" customFormat="false" ht="15" hidden="false" customHeight="false" outlineLevel="0" collapsed="false">
      <c r="A247" s="16"/>
      <c r="B247" s="16"/>
      <c r="C247" s="16"/>
      <c r="D247" s="16"/>
      <c r="E247" s="17"/>
      <c r="F247" s="17"/>
      <c r="G247" s="16"/>
      <c r="H247" s="18"/>
      <c r="I247" s="16"/>
      <c r="J247" s="16" t="str">
        <f aca="true">IF(E247="","",IF(F247&lt;&gt;"",F247-E247,TODAY()-E247))</f>
        <v/>
      </c>
      <c r="K247" s="16"/>
    </row>
    <row r="248" customFormat="false" ht="15" hidden="false" customHeight="false" outlineLevel="0" collapsed="false">
      <c r="A248" s="16"/>
      <c r="B248" s="16"/>
      <c r="C248" s="16"/>
      <c r="D248" s="16"/>
      <c r="E248" s="17"/>
      <c r="F248" s="17"/>
      <c r="G248" s="16"/>
      <c r="H248" s="18"/>
      <c r="I248" s="16"/>
      <c r="J248" s="16" t="str">
        <f aca="true">IF(E248="","",IF(F248&lt;&gt;"",F248-E248,TODAY()-E248))</f>
        <v/>
      </c>
      <c r="K248" s="16"/>
    </row>
    <row r="249" customFormat="false" ht="15" hidden="false" customHeight="false" outlineLevel="0" collapsed="false">
      <c r="A249" s="16"/>
      <c r="B249" s="16"/>
      <c r="C249" s="16"/>
      <c r="D249" s="16"/>
      <c r="E249" s="17"/>
      <c r="F249" s="17"/>
      <c r="G249" s="16"/>
      <c r="H249" s="18"/>
      <c r="I249" s="16"/>
      <c r="J249" s="16" t="str">
        <f aca="true">IF(E249="","",IF(F249&lt;&gt;"",F249-E249,TODAY()-E249))</f>
        <v/>
      </c>
      <c r="K249" s="16"/>
    </row>
    <row r="250" customFormat="false" ht="15" hidden="false" customHeight="false" outlineLevel="0" collapsed="false">
      <c r="A250" s="16"/>
      <c r="B250" s="16"/>
      <c r="C250" s="16"/>
      <c r="D250" s="16"/>
      <c r="E250" s="17"/>
      <c r="F250" s="17"/>
      <c r="G250" s="16"/>
      <c r="H250" s="18"/>
      <c r="I250" s="16"/>
      <c r="J250" s="16" t="str">
        <f aca="true">IF(E250="","",IF(F250&lt;&gt;"",F250-E250,TODAY()-E250))</f>
        <v/>
      </c>
      <c r="K250" s="16"/>
    </row>
    <row r="251" customFormat="false" ht="15" hidden="false" customHeight="false" outlineLevel="0" collapsed="false">
      <c r="A251" s="16"/>
      <c r="B251" s="16"/>
      <c r="C251" s="16"/>
      <c r="D251" s="16"/>
      <c r="E251" s="17"/>
      <c r="F251" s="17"/>
      <c r="G251" s="16"/>
      <c r="H251" s="18"/>
      <c r="I251" s="16"/>
      <c r="J251" s="16" t="str">
        <f aca="true">IF(E251="","",IF(F251&lt;&gt;"",F251-E251,TODAY()-E251))</f>
        <v/>
      </c>
      <c r="K251" s="16"/>
    </row>
    <row r="252" customFormat="false" ht="15" hidden="false" customHeight="false" outlineLevel="0" collapsed="false">
      <c r="A252" s="16"/>
      <c r="B252" s="16"/>
      <c r="C252" s="16"/>
      <c r="D252" s="16"/>
      <c r="E252" s="17"/>
      <c r="F252" s="17"/>
      <c r="G252" s="16"/>
      <c r="H252" s="18"/>
      <c r="I252" s="16"/>
      <c r="J252" s="16" t="str">
        <f aca="true">IF(E252="","",IF(F252&lt;&gt;"",F252-E252,TODAY()-E252))</f>
        <v/>
      </c>
      <c r="K252" s="16"/>
    </row>
    <row r="253" customFormat="false" ht="15" hidden="false" customHeight="false" outlineLevel="0" collapsed="false">
      <c r="A253" s="16"/>
      <c r="B253" s="16"/>
      <c r="C253" s="16"/>
      <c r="D253" s="16"/>
      <c r="E253" s="17"/>
      <c r="F253" s="17"/>
      <c r="G253" s="16"/>
      <c r="H253" s="18"/>
      <c r="I253" s="16"/>
      <c r="J253" s="16" t="str">
        <f aca="true">IF(E253="","",IF(F253&lt;&gt;"",F253-E253,TODAY()-E253))</f>
        <v/>
      </c>
      <c r="K253" s="16"/>
    </row>
    <row r="254" customFormat="false" ht="15" hidden="false" customHeight="false" outlineLevel="0" collapsed="false">
      <c r="A254" s="16"/>
      <c r="B254" s="16"/>
      <c r="C254" s="16"/>
      <c r="D254" s="16"/>
      <c r="E254" s="17"/>
      <c r="F254" s="17"/>
      <c r="G254" s="16"/>
      <c r="H254" s="18"/>
      <c r="I254" s="16"/>
      <c r="J254" s="16" t="str">
        <f aca="true">IF(E254="","",IF(F254&lt;&gt;"",F254-E254,TODAY()-E254))</f>
        <v/>
      </c>
      <c r="K254" s="16"/>
    </row>
    <row r="255" customFormat="false" ht="15" hidden="false" customHeight="false" outlineLevel="0" collapsed="false">
      <c r="A255" s="16"/>
      <c r="B255" s="16"/>
      <c r="C255" s="16"/>
      <c r="D255" s="16"/>
      <c r="E255" s="17"/>
      <c r="F255" s="17"/>
      <c r="G255" s="16"/>
      <c r="H255" s="18"/>
      <c r="I255" s="16"/>
      <c r="J255" s="16" t="str">
        <f aca="true">IF(E255="","",IF(F255&lt;&gt;"",F255-E255,TODAY()-E255))</f>
        <v/>
      </c>
      <c r="K255" s="16"/>
    </row>
    <row r="256" customFormat="false" ht="15" hidden="false" customHeight="false" outlineLevel="0" collapsed="false">
      <c r="A256" s="16"/>
      <c r="B256" s="16"/>
      <c r="C256" s="16"/>
      <c r="D256" s="16"/>
      <c r="E256" s="17"/>
      <c r="F256" s="17"/>
      <c r="G256" s="16"/>
      <c r="H256" s="18"/>
      <c r="I256" s="16"/>
      <c r="J256" s="16" t="str">
        <f aca="true">IF(E256="","",IF(F256&lt;&gt;"",F256-E256,TODAY()-E256))</f>
        <v/>
      </c>
      <c r="K256" s="16"/>
    </row>
    <row r="257" customFormat="false" ht="15" hidden="false" customHeight="false" outlineLevel="0" collapsed="false">
      <c r="A257" s="16"/>
      <c r="B257" s="16"/>
      <c r="C257" s="16"/>
      <c r="D257" s="16"/>
      <c r="E257" s="17"/>
      <c r="F257" s="17"/>
      <c r="G257" s="16"/>
      <c r="H257" s="18"/>
      <c r="I257" s="16"/>
      <c r="J257" s="16" t="str">
        <f aca="true">IF(E257="","",IF(F257&lt;&gt;"",F257-E257,TODAY()-E257))</f>
        <v/>
      </c>
      <c r="K257" s="16"/>
    </row>
    <row r="258" customFormat="false" ht="15" hidden="false" customHeight="false" outlineLevel="0" collapsed="false">
      <c r="A258" s="16"/>
      <c r="B258" s="16"/>
      <c r="C258" s="16"/>
      <c r="D258" s="16"/>
      <c r="E258" s="17"/>
      <c r="F258" s="17"/>
      <c r="G258" s="16"/>
      <c r="H258" s="18"/>
      <c r="I258" s="16"/>
      <c r="J258" s="16" t="str">
        <f aca="true">IF(E258="","",IF(F258&lt;&gt;"",F258-E258,TODAY()-E258))</f>
        <v/>
      </c>
      <c r="K258" s="16"/>
    </row>
    <row r="259" customFormat="false" ht="15" hidden="false" customHeight="false" outlineLevel="0" collapsed="false">
      <c r="A259" s="16"/>
      <c r="B259" s="16"/>
      <c r="C259" s="16"/>
      <c r="D259" s="16"/>
      <c r="E259" s="17"/>
      <c r="F259" s="17"/>
      <c r="G259" s="16"/>
      <c r="H259" s="18"/>
      <c r="I259" s="16"/>
      <c r="J259" s="16" t="str">
        <f aca="true">IF(E259="","",IF(F259&lt;&gt;"",F259-E259,TODAY()-E259))</f>
        <v/>
      </c>
      <c r="K259" s="16"/>
    </row>
    <row r="260" customFormat="false" ht="15" hidden="false" customHeight="false" outlineLevel="0" collapsed="false">
      <c r="A260" s="16"/>
      <c r="B260" s="16"/>
      <c r="C260" s="16"/>
      <c r="D260" s="16"/>
      <c r="E260" s="17"/>
      <c r="F260" s="17"/>
      <c r="G260" s="16"/>
      <c r="H260" s="18"/>
      <c r="I260" s="16"/>
      <c r="J260" s="16" t="str">
        <f aca="true">IF(E260="","",IF(F260&lt;&gt;"",F260-E260,TODAY()-E260))</f>
        <v/>
      </c>
      <c r="K260" s="16"/>
    </row>
    <row r="261" customFormat="false" ht="15" hidden="false" customHeight="false" outlineLevel="0" collapsed="false">
      <c r="A261" s="16"/>
      <c r="B261" s="16"/>
      <c r="C261" s="16"/>
      <c r="D261" s="16"/>
      <c r="E261" s="17"/>
      <c r="F261" s="17"/>
      <c r="G261" s="16"/>
      <c r="H261" s="18"/>
      <c r="I261" s="16"/>
      <c r="J261" s="16" t="str">
        <f aca="true">IF(E261="","",IF(F261&lt;&gt;"",F261-E261,TODAY()-E261))</f>
        <v/>
      </c>
      <c r="K261" s="16"/>
    </row>
    <row r="262" customFormat="false" ht="15" hidden="false" customHeight="false" outlineLevel="0" collapsed="false">
      <c r="A262" s="16"/>
      <c r="B262" s="16"/>
      <c r="C262" s="16"/>
      <c r="D262" s="16"/>
      <c r="E262" s="17"/>
      <c r="F262" s="17"/>
      <c r="G262" s="16"/>
      <c r="H262" s="18"/>
      <c r="I262" s="16"/>
      <c r="J262" s="16" t="str">
        <f aca="true">IF(E262="","",IF(F262&lt;&gt;"",F262-E262,TODAY()-E262))</f>
        <v/>
      </c>
      <c r="K262" s="16"/>
    </row>
    <row r="263" customFormat="false" ht="15" hidden="false" customHeight="false" outlineLevel="0" collapsed="false">
      <c r="A263" s="16"/>
      <c r="B263" s="16"/>
      <c r="C263" s="16"/>
      <c r="D263" s="16"/>
      <c r="E263" s="17"/>
      <c r="F263" s="17"/>
      <c r="G263" s="16"/>
      <c r="H263" s="18"/>
      <c r="I263" s="16"/>
      <c r="J263" s="16" t="str">
        <f aca="true">IF(E263="","",IF(F263&lt;&gt;"",F263-E263,TODAY()-E263))</f>
        <v/>
      </c>
      <c r="K263" s="16"/>
    </row>
    <row r="264" customFormat="false" ht="15" hidden="false" customHeight="false" outlineLevel="0" collapsed="false">
      <c r="A264" s="16"/>
      <c r="B264" s="16"/>
      <c r="C264" s="16"/>
      <c r="D264" s="16"/>
      <c r="E264" s="17"/>
      <c r="F264" s="17"/>
      <c r="G264" s="16"/>
      <c r="H264" s="18"/>
      <c r="I264" s="16"/>
      <c r="J264" s="16" t="str">
        <f aca="true">IF(E264="","",IF(F264&lt;&gt;"",F264-E264,TODAY()-E264))</f>
        <v/>
      </c>
      <c r="K264" s="16"/>
    </row>
    <row r="265" customFormat="false" ht="15" hidden="false" customHeight="false" outlineLevel="0" collapsed="false">
      <c r="A265" s="16"/>
      <c r="B265" s="16"/>
      <c r="C265" s="16"/>
      <c r="D265" s="16"/>
      <c r="E265" s="17"/>
      <c r="F265" s="17"/>
      <c r="G265" s="16"/>
      <c r="H265" s="18"/>
      <c r="I265" s="16"/>
      <c r="J265" s="16" t="str">
        <f aca="true">IF(E265="","",IF(F265&lt;&gt;"",F265-E265,TODAY()-E265))</f>
        <v/>
      </c>
      <c r="K265" s="16"/>
    </row>
    <row r="266" customFormat="false" ht="15" hidden="false" customHeight="false" outlineLevel="0" collapsed="false">
      <c r="A266" s="16"/>
      <c r="B266" s="16"/>
      <c r="C266" s="16"/>
      <c r="D266" s="16"/>
      <c r="E266" s="17"/>
      <c r="F266" s="17"/>
      <c r="G266" s="16"/>
      <c r="H266" s="18"/>
      <c r="I266" s="16"/>
      <c r="J266" s="16" t="str">
        <f aca="true">IF(E266="","",IF(F266&lt;&gt;"",F266-E266,TODAY()-E266))</f>
        <v/>
      </c>
      <c r="K266" s="16"/>
    </row>
    <row r="267" customFormat="false" ht="15" hidden="false" customHeight="false" outlineLevel="0" collapsed="false">
      <c r="A267" s="16"/>
      <c r="B267" s="16"/>
      <c r="C267" s="16"/>
      <c r="D267" s="16"/>
      <c r="E267" s="17"/>
      <c r="F267" s="17"/>
      <c r="G267" s="16"/>
      <c r="H267" s="18"/>
      <c r="I267" s="16"/>
      <c r="J267" s="16" t="str">
        <f aca="true">IF(E267="","",IF(F267&lt;&gt;"",F267-E267,TODAY()-E267))</f>
        <v/>
      </c>
      <c r="K267" s="16"/>
    </row>
    <row r="268" customFormat="false" ht="15" hidden="false" customHeight="false" outlineLevel="0" collapsed="false">
      <c r="A268" s="16"/>
      <c r="B268" s="16"/>
      <c r="C268" s="16"/>
      <c r="D268" s="16"/>
      <c r="E268" s="17"/>
      <c r="F268" s="17"/>
      <c r="G268" s="16"/>
      <c r="H268" s="18"/>
      <c r="I268" s="16"/>
      <c r="J268" s="16" t="str">
        <f aca="true">IF(E268="","",IF(F268&lt;&gt;"",F268-E268,TODAY()-E268))</f>
        <v/>
      </c>
      <c r="K268" s="16"/>
    </row>
    <row r="269" customFormat="false" ht="15" hidden="false" customHeight="false" outlineLevel="0" collapsed="false">
      <c r="A269" s="16"/>
      <c r="B269" s="16"/>
      <c r="C269" s="16"/>
      <c r="D269" s="16"/>
      <c r="E269" s="17"/>
      <c r="F269" s="17"/>
      <c r="G269" s="16"/>
      <c r="H269" s="18"/>
      <c r="I269" s="16"/>
      <c r="J269" s="16" t="str">
        <f aca="true">IF(E269="","",IF(F269&lt;&gt;"",F269-E269,TODAY()-E269))</f>
        <v/>
      </c>
      <c r="K269" s="16"/>
    </row>
    <row r="270" customFormat="false" ht="15" hidden="false" customHeight="false" outlineLevel="0" collapsed="false">
      <c r="A270" s="16"/>
      <c r="B270" s="16"/>
      <c r="C270" s="16"/>
      <c r="D270" s="16"/>
      <c r="E270" s="17"/>
      <c r="F270" s="17"/>
      <c r="G270" s="16"/>
      <c r="H270" s="18"/>
      <c r="I270" s="16"/>
      <c r="J270" s="16" t="str">
        <f aca="true">IF(E270="","",IF(F270&lt;&gt;"",F270-E270,TODAY()-E270))</f>
        <v/>
      </c>
      <c r="K270" s="16"/>
    </row>
    <row r="271" customFormat="false" ht="15" hidden="false" customHeight="false" outlineLevel="0" collapsed="false">
      <c r="A271" s="16"/>
      <c r="B271" s="16"/>
      <c r="C271" s="16"/>
      <c r="D271" s="16"/>
      <c r="E271" s="17"/>
      <c r="F271" s="17"/>
      <c r="G271" s="16"/>
      <c r="H271" s="18"/>
      <c r="I271" s="16"/>
      <c r="J271" s="16" t="str">
        <f aca="true">IF(E271="","",IF(F271&lt;&gt;"",F271-E271,TODAY()-E271))</f>
        <v/>
      </c>
      <c r="K271" s="16"/>
    </row>
    <row r="272" customFormat="false" ht="15" hidden="false" customHeight="false" outlineLevel="0" collapsed="false">
      <c r="A272" s="16"/>
      <c r="B272" s="16"/>
      <c r="C272" s="16"/>
      <c r="D272" s="16"/>
      <c r="E272" s="17"/>
      <c r="F272" s="17"/>
      <c r="G272" s="16"/>
      <c r="H272" s="18"/>
      <c r="I272" s="16"/>
      <c r="J272" s="16" t="str">
        <f aca="true">IF(E272="","",IF(F272&lt;&gt;"",F272-E272,TODAY()-E272))</f>
        <v/>
      </c>
      <c r="K272" s="16"/>
    </row>
    <row r="273" customFormat="false" ht="15" hidden="false" customHeight="false" outlineLevel="0" collapsed="false">
      <c r="A273" s="16"/>
      <c r="B273" s="16"/>
      <c r="C273" s="16"/>
      <c r="D273" s="16"/>
      <c r="E273" s="17"/>
      <c r="F273" s="17"/>
      <c r="G273" s="16"/>
      <c r="H273" s="18"/>
      <c r="I273" s="16"/>
      <c r="J273" s="16" t="str">
        <f aca="true">IF(E273="","",IF(F273&lt;&gt;"",F273-E273,TODAY()-E273))</f>
        <v/>
      </c>
      <c r="K273" s="16"/>
    </row>
    <row r="274" customFormat="false" ht="15" hidden="false" customHeight="false" outlineLevel="0" collapsed="false">
      <c r="A274" s="16"/>
      <c r="B274" s="16"/>
      <c r="C274" s="16"/>
      <c r="D274" s="16"/>
      <c r="E274" s="17"/>
      <c r="F274" s="17"/>
      <c r="G274" s="16"/>
      <c r="H274" s="18"/>
      <c r="I274" s="16"/>
      <c r="J274" s="16" t="str">
        <f aca="true">IF(E274="","",IF(F274&lt;&gt;"",F274-E274,TODAY()-E274))</f>
        <v/>
      </c>
      <c r="K274" s="16"/>
    </row>
    <row r="275" customFormat="false" ht="15" hidden="false" customHeight="false" outlineLevel="0" collapsed="false">
      <c r="A275" s="16"/>
      <c r="B275" s="16"/>
      <c r="C275" s="16"/>
      <c r="D275" s="16"/>
      <c r="E275" s="17"/>
      <c r="F275" s="17"/>
      <c r="G275" s="16"/>
      <c r="H275" s="18"/>
      <c r="I275" s="16"/>
      <c r="J275" s="16" t="str">
        <f aca="true">IF(E275="","",IF(F275&lt;&gt;"",F275-E275,TODAY()-E275))</f>
        <v/>
      </c>
      <c r="K275" s="16"/>
    </row>
    <row r="276" customFormat="false" ht="15" hidden="false" customHeight="false" outlineLevel="0" collapsed="false">
      <c r="A276" s="16"/>
      <c r="B276" s="16"/>
      <c r="C276" s="16"/>
      <c r="D276" s="16"/>
      <c r="E276" s="17"/>
      <c r="F276" s="17"/>
      <c r="G276" s="16"/>
      <c r="H276" s="18"/>
      <c r="I276" s="16"/>
      <c r="J276" s="16" t="str">
        <f aca="true">IF(E276="","",IF(F276&lt;&gt;"",F276-E276,TODAY()-E276))</f>
        <v/>
      </c>
      <c r="K276" s="16"/>
    </row>
    <row r="277" customFormat="false" ht="15" hidden="false" customHeight="false" outlineLevel="0" collapsed="false">
      <c r="A277" s="16"/>
      <c r="B277" s="16"/>
      <c r="C277" s="16"/>
      <c r="D277" s="16"/>
      <c r="E277" s="17"/>
      <c r="F277" s="17"/>
      <c r="G277" s="16"/>
      <c r="H277" s="18"/>
      <c r="I277" s="16"/>
      <c r="J277" s="16" t="str">
        <f aca="true">IF(E277="","",IF(F277&lt;&gt;"",F277-E277,TODAY()-E277))</f>
        <v/>
      </c>
      <c r="K277" s="16"/>
    </row>
    <row r="278" customFormat="false" ht="15" hidden="false" customHeight="false" outlineLevel="0" collapsed="false">
      <c r="A278" s="16"/>
      <c r="B278" s="16"/>
      <c r="C278" s="16"/>
      <c r="D278" s="16"/>
      <c r="E278" s="17"/>
      <c r="F278" s="17"/>
      <c r="G278" s="16"/>
      <c r="H278" s="18"/>
      <c r="I278" s="16"/>
      <c r="J278" s="16" t="str">
        <f aca="true">IF(E278="","",IF(F278&lt;&gt;"",F278-E278,TODAY()-E278))</f>
        <v/>
      </c>
      <c r="K278" s="16"/>
    </row>
    <row r="279" customFormat="false" ht="15" hidden="false" customHeight="false" outlineLevel="0" collapsed="false">
      <c r="A279" s="16"/>
      <c r="B279" s="16"/>
      <c r="C279" s="16"/>
      <c r="D279" s="16"/>
      <c r="E279" s="17"/>
      <c r="F279" s="17"/>
      <c r="G279" s="16"/>
      <c r="H279" s="18"/>
      <c r="I279" s="16"/>
      <c r="J279" s="16" t="str">
        <f aca="true">IF(E279="","",IF(F279&lt;&gt;"",F279-E279,TODAY()-E279))</f>
        <v/>
      </c>
      <c r="K279" s="16"/>
    </row>
    <row r="280" customFormat="false" ht="15" hidden="false" customHeight="false" outlineLevel="0" collapsed="false">
      <c r="A280" s="16"/>
      <c r="B280" s="16"/>
      <c r="C280" s="16"/>
      <c r="D280" s="16"/>
      <c r="E280" s="17"/>
      <c r="F280" s="17"/>
      <c r="G280" s="16"/>
      <c r="H280" s="18"/>
      <c r="I280" s="16"/>
      <c r="J280" s="16" t="str">
        <f aca="true">IF(E280="","",IF(F280&lt;&gt;"",F280-E280,TODAY()-E280))</f>
        <v/>
      </c>
      <c r="K280" s="16"/>
    </row>
    <row r="281" customFormat="false" ht="15" hidden="false" customHeight="false" outlineLevel="0" collapsed="false">
      <c r="A281" s="16"/>
      <c r="B281" s="16"/>
      <c r="C281" s="16"/>
      <c r="D281" s="16"/>
      <c r="E281" s="17"/>
      <c r="F281" s="17"/>
      <c r="G281" s="16"/>
      <c r="H281" s="18"/>
      <c r="I281" s="16"/>
      <c r="J281" s="16" t="str">
        <f aca="true">IF(E281="","",IF(F281&lt;&gt;"",F281-E281,TODAY()-E281))</f>
        <v/>
      </c>
      <c r="K281" s="16"/>
    </row>
    <row r="282" customFormat="false" ht="15" hidden="false" customHeight="false" outlineLevel="0" collapsed="false">
      <c r="A282" s="16"/>
      <c r="B282" s="16"/>
      <c r="C282" s="16"/>
      <c r="D282" s="16"/>
      <c r="E282" s="17"/>
      <c r="F282" s="17"/>
      <c r="G282" s="16"/>
      <c r="H282" s="18"/>
      <c r="I282" s="16"/>
      <c r="J282" s="16" t="str">
        <f aca="true">IF(E282="","",IF(F282&lt;&gt;"",F282-E282,TODAY()-E282))</f>
        <v/>
      </c>
      <c r="K282" s="16"/>
    </row>
    <row r="283" customFormat="false" ht="15" hidden="false" customHeight="false" outlineLevel="0" collapsed="false">
      <c r="A283" s="16"/>
      <c r="B283" s="16"/>
      <c r="C283" s="16"/>
      <c r="D283" s="16"/>
      <c r="E283" s="17"/>
      <c r="F283" s="17"/>
      <c r="G283" s="16"/>
      <c r="H283" s="18"/>
      <c r="I283" s="16"/>
      <c r="J283" s="16" t="str">
        <f aca="true">IF(E283="","",IF(F283&lt;&gt;"",F283-E283,TODAY()-E283))</f>
        <v/>
      </c>
      <c r="K283" s="16"/>
    </row>
    <row r="284" customFormat="false" ht="15" hidden="false" customHeight="false" outlineLevel="0" collapsed="false">
      <c r="A284" s="16"/>
      <c r="B284" s="16"/>
      <c r="C284" s="16"/>
      <c r="D284" s="16"/>
      <c r="E284" s="17"/>
      <c r="F284" s="17"/>
      <c r="G284" s="16"/>
      <c r="H284" s="18"/>
      <c r="I284" s="16"/>
      <c r="J284" s="16" t="str">
        <f aca="true">IF(E284="","",IF(F284&lt;&gt;"",F284-E284,TODAY()-E284))</f>
        <v/>
      </c>
      <c r="K284" s="16"/>
    </row>
    <row r="285" customFormat="false" ht="15" hidden="false" customHeight="false" outlineLevel="0" collapsed="false">
      <c r="A285" s="16"/>
      <c r="B285" s="16"/>
      <c r="C285" s="16"/>
      <c r="D285" s="16"/>
      <c r="E285" s="17"/>
      <c r="F285" s="17"/>
      <c r="G285" s="16"/>
      <c r="H285" s="18"/>
      <c r="I285" s="16"/>
      <c r="J285" s="16" t="str">
        <f aca="true">IF(E285="","",IF(F285&lt;&gt;"",F285-E285,TODAY()-E285))</f>
        <v/>
      </c>
      <c r="K285" s="16"/>
    </row>
    <row r="286" customFormat="false" ht="15" hidden="false" customHeight="false" outlineLevel="0" collapsed="false">
      <c r="A286" s="16"/>
      <c r="B286" s="16"/>
      <c r="C286" s="16"/>
      <c r="D286" s="16"/>
      <c r="E286" s="17"/>
      <c r="F286" s="17"/>
      <c r="G286" s="16"/>
      <c r="H286" s="18"/>
      <c r="I286" s="16"/>
      <c r="J286" s="16" t="str">
        <f aca="true">IF(E286="","",IF(F286&lt;&gt;"",F286-E286,TODAY()-E286))</f>
        <v/>
      </c>
      <c r="K286" s="16"/>
    </row>
    <row r="287" customFormat="false" ht="15" hidden="false" customHeight="false" outlineLevel="0" collapsed="false">
      <c r="A287" s="16"/>
      <c r="B287" s="16"/>
      <c r="C287" s="16"/>
      <c r="D287" s="16"/>
      <c r="E287" s="17"/>
      <c r="F287" s="17"/>
      <c r="G287" s="16"/>
      <c r="H287" s="18"/>
      <c r="I287" s="16"/>
      <c r="J287" s="16" t="str">
        <f aca="true">IF(E287="","",IF(F287&lt;&gt;"",F287-E287,TODAY()-E287))</f>
        <v/>
      </c>
      <c r="K287" s="16"/>
    </row>
    <row r="288" customFormat="false" ht="15" hidden="false" customHeight="false" outlineLevel="0" collapsed="false">
      <c r="A288" s="16"/>
      <c r="B288" s="16"/>
      <c r="C288" s="16"/>
      <c r="D288" s="16"/>
      <c r="E288" s="17"/>
      <c r="F288" s="17"/>
      <c r="G288" s="16"/>
      <c r="H288" s="18"/>
      <c r="I288" s="16"/>
      <c r="J288" s="16" t="str">
        <f aca="true">IF(E288="","",IF(F288&lt;&gt;"",F288-E288,TODAY()-E288))</f>
        <v/>
      </c>
      <c r="K288" s="16"/>
    </row>
    <row r="289" customFormat="false" ht="15" hidden="false" customHeight="false" outlineLevel="0" collapsed="false">
      <c r="A289" s="16"/>
      <c r="B289" s="16"/>
      <c r="C289" s="16"/>
      <c r="D289" s="16"/>
      <c r="E289" s="17"/>
      <c r="F289" s="17"/>
      <c r="G289" s="16"/>
      <c r="H289" s="18"/>
      <c r="I289" s="16"/>
      <c r="J289" s="16" t="str">
        <f aca="true">IF(E289="","",IF(F289&lt;&gt;"",F289-E289,TODAY()-E289))</f>
        <v/>
      </c>
      <c r="K289" s="16"/>
    </row>
    <row r="290" customFormat="false" ht="15" hidden="false" customHeight="false" outlineLevel="0" collapsed="false">
      <c r="A290" s="16"/>
      <c r="B290" s="16"/>
      <c r="C290" s="16"/>
      <c r="D290" s="16"/>
      <c r="E290" s="17"/>
      <c r="F290" s="17"/>
      <c r="G290" s="16"/>
      <c r="H290" s="18"/>
      <c r="I290" s="16"/>
      <c r="J290" s="16" t="str">
        <f aca="true">IF(E290="","",IF(F290&lt;&gt;"",F290-E290,TODAY()-E290))</f>
        <v/>
      </c>
      <c r="K290" s="16"/>
    </row>
    <row r="291" customFormat="false" ht="15" hidden="false" customHeight="false" outlineLevel="0" collapsed="false">
      <c r="A291" s="16"/>
      <c r="B291" s="16"/>
      <c r="C291" s="16"/>
      <c r="D291" s="16"/>
      <c r="E291" s="17"/>
      <c r="F291" s="17"/>
      <c r="G291" s="16"/>
      <c r="H291" s="18"/>
      <c r="I291" s="16"/>
      <c r="J291" s="16" t="str">
        <f aca="true">IF(E291="","",IF(F291&lt;&gt;"",F291-E291,TODAY()-E291))</f>
        <v/>
      </c>
      <c r="K291" s="16"/>
    </row>
    <row r="292" customFormat="false" ht="15" hidden="false" customHeight="false" outlineLevel="0" collapsed="false">
      <c r="A292" s="16"/>
      <c r="B292" s="16"/>
      <c r="C292" s="16"/>
      <c r="D292" s="16"/>
      <c r="E292" s="17"/>
      <c r="F292" s="17"/>
      <c r="G292" s="16"/>
      <c r="H292" s="18"/>
      <c r="I292" s="16"/>
      <c r="J292" s="16" t="str">
        <f aca="true">IF(E292="","",IF(F292&lt;&gt;"",F292-E292,TODAY()-E292))</f>
        <v/>
      </c>
      <c r="K292" s="16"/>
    </row>
    <row r="293" customFormat="false" ht="15" hidden="false" customHeight="false" outlineLevel="0" collapsed="false">
      <c r="A293" s="16"/>
      <c r="B293" s="16"/>
      <c r="C293" s="16"/>
      <c r="D293" s="16"/>
      <c r="E293" s="17"/>
      <c r="F293" s="17"/>
      <c r="G293" s="16"/>
      <c r="H293" s="18"/>
      <c r="I293" s="16"/>
      <c r="J293" s="16" t="str">
        <f aca="true">IF(E293="","",IF(F293&lt;&gt;"",F293-E293,TODAY()-E293))</f>
        <v/>
      </c>
      <c r="K293" s="16"/>
    </row>
    <row r="294" customFormat="false" ht="15" hidden="false" customHeight="false" outlineLevel="0" collapsed="false">
      <c r="A294" s="16"/>
      <c r="B294" s="16"/>
      <c r="C294" s="16"/>
      <c r="D294" s="16"/>
      <c r="E294" s="17"/>
      <c r="F294" s="17"/>
      <c r="G294" s="16"/>
      <c r="H294" s="18"/>
      <c r="I294" s="16"/>
      <c r="J294" s="16" t="str">
        <f aca="true">IF(E294="","",IF(F294&lt;&gt;"",F294-E294,TODAY()-E294))</f>
        <v/>
      </c>
      <c r="K294" s="16"/>
    </row>
    <row r="295" customFormat="false" ht="15" hidden="false" customHeight="false" outlineLevel="0" collapsed="false">
      <c r="A295" s="16"/>
      <c r="B295" s="16"/>
      <c r="C295" s="16"/>
      <c r="D295" s="16"/>
      <c r="E295" s="17"/>
      <c r="F295" s="17"/>
      <c r="G295" s="16"/>
      <c r="H295" s="18"/>
      <c r="I295" s="16"/>
      <c r="J295" s="16" t="str">
        <f aca="true">IF(E295="","",IF(F295&lt;&gt;"",F295-E295,TODAY()-E295))</f>
        <v/>
      </c>
      <c r="K295" s="16"/>
    </row>
    <row r="296" customFormat="false" ht="15" hidden="false" customHeight="false" outlineLevel="0" collapsed="false">
      <c r="A296" s="16"/>
      <c r="B296" s="16"/>
      <c r="C296" s="16"/>
      <c r="D296" s="16"/>
      <c r="E296" s="17"/>
      <c r="F296" s="17"/>
      <c r="G296" s="16"/>
      <c r="H296" s="18"/>
      <c r="I296" s="16"/>
      <c r="J296" s="16" t="str">
        <f aca="true">IF(E296="","",IF(F296&lt;&gt;"",F296-E296,TODAY()-E296))</f>
        <v/>
      </c>
      <c r="K296" s="16"/>
    </row>
    <row r="297" customFormat="false" ht="15" hidden="false" customHeight="false" outlineLevel="0" collapsed="false">
      <c r="A297" s="16"/>
      <c r="B297" s="16"/>
      <c r="C297" s="16"/>
      <c r="D297" s="16"/>
      <c r="E297" s="17"/>
      <c r="F297" s="17"/>
      <c r="G297" s="16"/>
      <c r="H297" s="18"/>
      <c r="I297" s="16"/>
      <c r="J297" s="16" t="str">
        <f aca="true">IF(E297="","",IF(F297&lt;&gt;"",F297-E297,TODAY()-E297))</f>
        <v/>
      </c>
      <c r="K297" s="16"/>
    </row>
    <row r="298" customFormat="false" ht="15" hidden="false" customHeight="false" outlineLevel="0" collapsed="false">
      <c r="A298" s="16"/>
      <c r="B298" s="16"/>
      <c r="C298" s="16"/>
      <c r="D298" s="16"/>
      <c r="E298" s="17"/>
      <c r="F298" s="17"/>
      <c r="G298" s="16"/>
      <c r="H298" s="18"/>
      <c r="I298" s="16"/>
      <c r="J298" s="16" t="str">
        <f aca="true">IF(E298="","",IF(F298&lt;&gt;"",F298-E298,TODAY()-E298))</f>
        <v/>
      </c>
      <c r="K298" s="16"/>
    </row>
    <row r="299" customFormat="false" ht="15" hidden="false" customHeight="false" outlineLevel="0" collapsed="false">
      <c r="A299" s="16"/>
      <c r="B299" s="16"/>
      <c r="C299" s="16"/>
      <c r="D299" s="16"/>
      <c r="E299" s="17"/>
      <c r="F299" s="17"/>
      <c r="G299" s="16"/>
      <c r="H299" s="18"/>
      <c r="I299" s="16"/>
      <c r="J299" s="16" t="str">
        <f aca="true">IF(E299="","",IF(F299&lt;&gt;"",F299-E299,TODAY()-E299))</f>
        <v/>
      </c>
      <c r="K299" s="16"/>
    </row>
    <row r="300" customFormat="false" ht="15" hidden="false" customHeight="false" outlineLevel="0" collapsed="false">
      <c r="A300" s="16"/>
      <c r="B300" s="16"/>
      <c r="C300" s="16"/>
      <c r="D300" s="16"/>
      <c r="E300" s="17"/>
      <c r="F300" s="17"/>
      <c r="G300" s="16"/>
      <c r="H300" s="18"/>
      <c r="I300" s="16"/>
      <c r="J300" s="16" t="str">
        <f aca="true">IF(E300="","",IF(F300&lt;&gt;"",F300-E300,TODAY()-E300))</f>
        <v/>
      </c>
      <c r="K300" s="16"/>
    </row>
    <row r="301" customFormat="false" ht="15" hidden="false" customHeight="false" outlineLevel="0" collapsed="false">
      <c r="A301" s="16"/>
      <c r="B301" s="16"/>
      <c r="C301" s="16"/>
      <c r="D301" s="16"/>
      <c r="E301" s="17"/>
      <c r="F301" s="17"/>
      <c r="G301" s="16"/>
      <c r="H301" s="18"/>
      <c r="I301" s="16"/>
      <c r="J301" s="16" t="str">
        <f aca="true">IF(E301="","",IF(F301&lt;&gt;"",F301-E301,TODAY()-E301))</f>
        <v/>
      </c>
      <c r="K301" s="16"/>
    </row>
  </sheetData>
  <autoFilter ref="A1:K301"/>
  <dataValidations count="2">
    <dataValidation allowBlank="true" error="Please choose an item from the dropdown list." errorStyle="stop" errorTitle="Invalid entry" operator="between" showDropDown="false" showErrorMessage="false" showInputMessage="false" sqref="A2:A301" type="list">
      <formula1>'Job List'!$A$2:$A$16</formula1>
      <formula2>0</formula2>
    </dataValidation>
    <dataValidation allowBlank="true" error="Please choose an item from the dropdown list." errorStyle="stop" errorTitle="Invalid entry" operator="between" showDropDown="false" showErrorMessage="false" showInputMessage="false" sqref="G2:G301" type="list">
      <formula1>"Pending,Submitted,Approved,Rejected,Credit,Executed"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9" min="8" style="0" width="30"/>
  </cols>
  <sheetData>
    <row r="1" customFormat="false" ht="30" hidden="false" customHeight="true" outlineLevel="0" collapsed="false">
      <c r="A1" s="7" t="s">
        <v>27</v>
      </c>
      <c r="B1" s="7" t="s">
        <v>28</v>
      </c>
      <c r="C1" s="7" t="s">
        <v>91</v>
      </c>
      <c r="D1" s="7" t="s">
        <v>92</v>
      </c>
      <c r="E1" s="7" t="s">
        <v>93</v>
      </c>
      <c r="F1" s="7" t="s">
        <v>94</v>
      </c>
      <c r="G1" s="7" t="s">
        <v>75</v>
      </c>
      <c r="H1" s="7" t="s">
        <v>95</v>
      </c>
      <c r="I1" s="7" t="s">
        <v>79</v>
      </c>
    </row>
    <row r="2" customFormat="false" ht="15" hidden="false" customHeight="false" outlineLevel="0" collapsed="false">
      <c r="A2" s="16"/>
      <c r="B2" s="16"/>
      <c r="C2" s="16"/>
      <c r="D2" s="16"/>
      <c r="E2" s="17"/>
      <c r="F2" s="17"/>
      <c r="G2" s="16"/>
      <c r="H2" s="16"/>
      <c r="I2" s="16"/>
    </row>
    <row r="3" customFormat="false" ht="15" hidden="false" customHeight="false" outlineLevel="0" collapsed="false">
      <c r="A3" s="16"/>
      <c r="B3" s="16"/>
      <c r="C3" s="16"/>
      <c r="D3" s="16"/>
      <c r="E3" s="17"/>
      <c r="F3" s="17"/>
      <c r="G3" s="16"/>
      <c r="H3" s="16"/>
      <c r="I3" s="16"/>
    </row>
    <row r="4" customFormat="false" ht="15" hidden="false" customHeight="false" outlineLevel="0" collapsed="false">
      <c r="A4" s="16"/>
      <c r="B4" s="16"/>
      <c r="C4" s="16"/>
      <c r="D4" s="16"/>
      <c r="E4" s="17"/>
      <c r="F4" s="17"/>
      <c r="G4" s="16"/>
      <c r="H4" s="16"/>
      <c r="I4" s="16"/>
    </row>
    <row r="5" customFormat="false" ht="15" hidden="false" customHeight="false" outlineLevel="0" collapsed="false">
      <c r="A5" s="16"/>
      <c r="B5" s="16"/>
      <c r="C5" s="16"/>
      <c r="D5" s="16"/>
      <c r="E5" s="17"/>
      <c r="F5" s="17"/>
      <c r="G5" s="16"/>
      <c r="H5" s="16"/>
      <c r="I5" s="16"/>
    </row>
    <row r="6" customFormat="false" ht="15" hidden="false" customHeight="false" outlineLevel="0" collapsed="false">
      <c r="A6" s="16"/>
      <c r="B6" s="16"/>
      <c r="C6" s="16"/>
      <c r="D6" s="16"/>
      <c r="E6" s="17"/>
      <c r="F6" s="17"/>
      <c r="G6" s="16"/>
      <c r="H6" s="16"/>
      <c r="I6" s="16"/>
    </row>
    <row r="7" customFormat="false" ht="15" hidden="false" customHeight="false" outlineLevel="0" collapsed="false">
      <c r="A7" s="16"/>
      <c r="B7" s="16"/>
      <c r="C7" s="16"/>
      <c r="D7" s="16"/>
      <c r="E7" s="17"/>
      <c r="F7" s="17"/>
      <c r="G7" s="16"/>
      <c r="H7" s="16"/>
      <c r="I7" s="16"/>
    </row>
    <row r="8" customFormat="false" ht="15" hidden="false" customHeight="false" outlineLevel="0" collapsed="false">
      <c r="A8" s="16"/>
      <c r="B8" s="16"/>
      <c r="C8" s="16"/>
      <c r="D8" s="16"/>
      <c r="E8" s="17"/>
      <c r="F8" s="17"/>
      <c r="G8" s="16"/>
      <c r="H8" s="16"/>
      <c r="I8" s="16"/>
    </row>
    <row r="9" customFormat="false" ht="15" hidden="false" customHeight="false" outlineLevel="0" collapsed="false">
      <c r="A9" s="16"/>
      <c r="B9" s="16"/>
      <c r="C9" s="16"/>
      <c r="D9" s="16"/>
      <c r="E9" s="17"/>
      <c r="F9" s="17"/>
      <c r="G9" s="16"/>
      <c r="H9" s="16"/>
      <c r="I9" s="16"/>
    </row>
    <row r="10" customFormat="false" ht="15" hidden="false" customHeight="false" outlineLevel="0" collapsed="false">
      <c r="A10" s="16"/>
      <c r="B10" s="16"/>
      <c r="C10" s="16"/>
      <c r="D10" s="16"/>
      <c r="E10" s="17"/>
      <c r="F10" s="17"/>
      <c r="G10" s="16"/>
      <c r="H10" s="16"/>
      <c r="I10" s="16"/>
    </row>
    <row r="11" customFormat="false" ht="15" hidden="false" customHeight="false" outlineLevel="0" collapsed="false">
      <c r="A11" s="16"/>
      <c r="B11" s="16"/>
      <c r="C11" s="16"/>
      <c r="D11" s="16"/>
      <c r="E11" s="17"/>
      <c r="F11" s="17"/>
      <c r="G11" s="16"/>
      <c r="H11" s="16"/>
      <c r="I11" s="16"/>
    </row>
    <row r="12" customFormat="false" ht="15" hidden="false" customHeight="false" outlineLevel="0" collapsed="false">
      <c r="A12" s="16"/>
      <c r="B12" s="16"/>
      <c r="C12" s="16"/>
      <c r="D12" s="16"/>
      <c r="E12" s="17"/>
      <c r="F12" s="17"/>
      <c r="G12" s="16"/>
      <c r="H12" s="16"/>
      <c r="I12" s="16"/>
    </row>
    <row r="13" customFormat="false" ht="15" hidden="false" customHeight="false" outlineLevel="0" collapsed="false">
      <c r="A13" s="16"/>
      <c r="B13" s="16"/>
      <c r="C13" s="16"/>
      <c r="D13" s="16"/>
      <c r="E13" s="17"/>
      <c r="F13" s="17"/>
      <c r="G13" s="16"/>
      <c r="H13" s="16"/>
      <c r="I13" s="16"/>
    </row>
    <row r="14" customFormat="false" ht="15" hidden="false" customHeight="false" outlineLevel="0" collapsed="false">
      <c r="A14" s="16"/>
      <c r="B14" s="16"/>
      <c r="C14" s="16"/>
      <c r="D14" s="16"/>
      <c r="E14" s="17"/>
      <c r="F14" s="17"/>
      <c r="G14" s="16"/>
      <c r="H14" s="16"/>
      <c r="I14" s="16"/>
    </row>
    <row r="15" customFormat="false" ht="15" hidden="false" customHeight="false" outlineLevel="0" collapsed="false">
      <c r="A15" s="16"/>
      <c r="B15" s="16"/>
      <c r="C15" s="16"/>
      <c r="D15" s="16"/>
      <c r="E15" s="17"/>
      <c r="F15" s="17"/>
      <c r="G15" s="16"/>
      <c r="H15" s="16"/>
      <c r="I15" s="16"/>
    </row>
    <row r="16" customFormat="false" ht="15" hidden="false" customHeight="false" outlineLevel="0" collapsed="false">
      <c r="A16" s="16"/>
      <c r="B16" s="16"/>
      <c r="C16" s="16"/>
      <c r="D16" s="16"/>
      <c r="E16" s="17"/>
      <c r="F16" s="17"/>
      <c r="G16" s="16"/>
      <c r="H16" s="16"/>
      <c r="I16" s="16"/>
    </row>
    <row r="17" customFormat="false" ht="15" hidden="false" customHeight="false" outlineLevel="0" collapsed="false">
      <c r="A17" s="16"/>
      <c r="B17" s="16"/>
      <c r="C17" s="16"/>
      <c r="D17" s="16"/>
      <c r="E17" s="17"/>
      <c r="F17" s="17"/>
      <c r="G17" s="16"/>
      <c r="H17" s="16"/>
      <c r="I17" s="16"/>
    </row>
    <row r="18" customFormat="false" ht="15" hidden="false" customHeight="false" outlineLevel="0" collapsed="false">
      <c r="A18" s="16"/>
      <c r="B18" s="16"/>
      <c r="C18" s="16"/>
      <c r="D18" s="16"/>
      <c r="E18" s="17"/>
      <c r="F18" s="17"/>
      <c r="G18" s="16"/>
      <c r="H18" s="16"/>
      <c r="I18" s="16"/>
    </row>
    <row r="19" customFormat="false" ht="15" hidden="false" customHeight="false" outlineLevel="0" collapsed="false">
      <c r="A19" s="16"/>
      <c r="B19" s="16"/>
      <c r="C19" s="16"/>
      <c r="D19" s="16"/>
      <c r="E19" s="17"/>
      <c r="F19" s="17"/>
      <c r="G19" s="16"/>
      <c r="H19" s="16"/>
      <c r="I19" s="16"/>
    </row>
    <row r="20" customFormat="false" ht="15" hidden="false" customHeight="false" outlineLevel="0" collapsed="false">
      <c r="A20" s="16"/>
      <c r="B20" s="16"/>
      <c r="C20" s="16"/>
      <c r="D20" s="16"/>
      <c r="E20" s="17"/>
      <c r="F20" s="17"/>
      <c r="G20" s="16"/>
      <c r="H20" s="16"/>
      <c r="I20" s="16"/>
    </row>
    <row r="21" customFormat="false" ht="15" hidden="false" customHeight="false" outlineLevel="0" collapsed="false">
      <c r="A21" s="16"/>
      <c r="B21" s="16"/>
      <c r="C21" s="16"/>
      <c r="D21" s="16"/>
      <c r="E21" s="17"/>
      <c r="F21" s="17"/>
      <c r="G21" s="16"/>
      <c r="H21" s="16"/>
      <c r="I21" s="16"/>
    </row>
    <row r="22" customFormat="false" ht="15" hidden="false" customHeight="false" outlineLevel="0" collapsed="false">
      <c r="A22" s="16"/>
      <c r="B22" s="16"/>
      <c r="C22" s="16"/>
      <c r="D22" s="16"/>
      <c r="E22" s="17"/>
      <c r="F22" s="17"/>
      <c r="G22" s="16"/>
      <c r="H22" s="16"/>
      <c r="I22" s="16"/>
    </row>
    <row r="23" customFormat="false" ht="15" hidden="false" customHeight="false" outlineLevel="0" collapsed="false">
      <c r="A23" s="16"/>
      <c r="B23" s="16"/>
      <c r="C23" s="16"/>
      <c r="D23" s="16"/>
      <c r="E23" s="17"/>
      <c r="F23" s="17"/>
      <c r="G23" s="16"/>
      <c r="H23" s="16"/>
      <c r="I23" s="16"/>
    </row>
    <row r="24" customFormat="false" ht="15" hidden="false" customHeight="false" outlineLevel="0" collapsed="false">
      <c r="A24" s="16"/>
      <c r="B24" s="16"/>
      <c r="C24" s="16"/>
      <c r="D24" s="16"/>
      <c r="E24" s="17"/>
      <c r="F24" s="17"/>
      <c r="G24" s="16"/>
      <c r="H24" s="16"/>
      <c r="I24" s="16"/>
    </row>
    <row r="25" customFormat="false" ht="15" hidden="false" customHeight="false" outlineLevel="0" collapsed="false">
      <c r="A25" s="16"/>
      <c r="B25" s="16"/>
      <c r="C25" s="16"/>
      <c r="D25" s="16"/>
      <c r="E25" s="17"/>
      <c r="F25" s="17"/>
      <c r="G25" s="16"/>
      <c r="H25" s="16"/>
      <c r="I25" s="16"/>
    </row>
    <row r="26" customFormat="false" ht="15" hidden="false" customHeight="false" outlineLevel="0" collapsed="false">
      <c r="A26" s="16"/>
      <c r="B26" s="16"/>
      <c r="C26" s="16"/>
      <c r="D26" s="16"/>
      <c r="E26" s="17"/>
      <c r="F26" s="17"/>
      <c r="G26" s="16"/>
      <c r="H26" s="16"/>
      <c r="I26" s="16"/>
    </row>
    <row r="27" customFormat="false" ht="15" hidden="false" customHeight="false" outlineLevel="0" collapsed="false">
      <c r="A27" s="16"/>
      <c r="B27" s="16"/>
      <c r="C27" s="16"/>
      <c r="D27" s="16"/>
      <c r="E27" s="17"/>
      <c r="F27" s="17"/>
      <c r="G27" s="16"/>
      <c r="H27" s="16"/>
      <c r="I27" s="16"/>
    </row>
    <row r="28" customFormat="false" ht="15" hidden="false" customHeight="false" outlineLevel="0" collapsed="false">
      <c r="A28" s="16"/>
      <c r="B28" s="16"/>
      <c r="C28" s="16"/>
      <c r="D28" s="16"/>
      <c r="E28" s="17"/>
      <c r="F28" s="17"/>
      <c r="G28" s="16"/>
      <c r="H28" s="16"/>
      <c r="I28" s="16"/>
    </row>
    <row r="29" customFormat="false" ht="15" hidden="false" customHeight="false" outlineLevel="0" collapsed="false">
      <c r="A29" s="16"/>
      <c r="B29" s="16"/>
      <c r="C29" s="16"/>
      <c r="D29" s="16"/>
      <c r="E29" s="17"/>
      <c r="F29" s="17"/>
      <c r="G29" s="16"/>
      <c r="H29" s="16"/>
      <c r="I29" s="16"/>
    </row>
    <row r="30" customFormat="false" ht="15" hidden="false" customHeight="false" outlineLevel="0" collapsed="false">
      <c r="A30" s="16"/>
      <c r="B30" s="16"/>
      <c r="C30" s="16"/>
      <c r="D30" s="16"/>
      <c r="E30" s="17"/>
      <c r="F30" s="17"/>
      <c r="G30" s="16"/>
      <c r="H30" s="16"/>
      <c r="I30" s="16"/>
    </row>
    <row r="31" customFormat="false" ht="15" hidden="false" customHeight="false" outlineLevel="0" collapsed="false">
      <c r="A31" s="16"/>
      <c r="B31" s="16"/>
      <c r="C31" s="16"/>
      <c r="D31" s="16"/>
      <c r="E31" s="17"/>
      <c r="F31" s="17"/>
      <c r="G31" s="16"/>
      <c r="H31" s="16"/>
      <c r="I31" s="16"/>
    </row>
    <row r="32" customFormat="false" ht="15" hidden="false" customHeight="false" outlineLevel="0" collapsed="false">
      <c r="A32" s="16"/>
      <c r="B32" s="16"/>
      <c r="C32" s="16"/>
      <c r="D32" s="16"/>
      <c r="E32" s="17"/>
      <c r="F32" s="17"/>
      <c r="G32" s="16"/>
      <c r="H32" s="16"/>
      <c r="I32" s="16"/>
    </row>
    <row r="33" customFormat="false" ht="15" hidden="false" customHeight="false" outlineLevel="0" collapsed="false">
      <c r="A33" s="16"/>
      <c r="B33" s="16"/>
      <c r="C33" s="16"/>
      <c r="D33" s="16"/>
      <c r="E33" s="17"/>
      <c r="F33" s="17"/>
      <c r="G33" s="16"/>
      <c r="H33" s="16"/>
      <c r="I33" s="16"/>
    </row>
    <row r="34" customFormat="false" ht="15" hidden="false" customHeight="false" outlineLevel="0" collapsed="false">
      <c r="A34" s="16"/>
      <c r="B34" s="16"/>
      <c r="C34" s="16"/>
      <c r="D34" s="16"/>
      <c r="E34" s="17"/>
      <c r="F34" s="17"/>
      <c r="G34" s="16"/>
      <c r="H34" s="16"/>
      <c r="I34" s="16"/>
    </row>
    <row r="35" customFormat="false" ht="15" hidden="false" customHeight="false" outlineLevel="0" collapsed="false">
      <c r="A35" s="16"/>
      <c r="B35" s="16"/>
      <c r="C35" s="16"/>
      <c r="D35" s="16"/>
      <c r="E35" s="17"/>
      <c r="F35" s="17"/>
      <c r="G35" s="16"/>
      <c r="H35" s="16"/>
      <c r="I35" s="16"/>
    </row>
    <row r="36" customFormat="false" ht="15" hidden="false" customHeight="false" outlineLevel="0" collapsed="false">
      <c r="A36" s="16"/>
      <c r="B36" s="16"/>
      <c r="C36" s="16"/>
      <c r="D36" s="16"/>
      <c r="E36" s="17"/>
      <c r="F36" s="17"/>
      <c r="G36" s="16"/>
      <c r="H36" s="16"/>
      <c r="I36" s="16"/>
    </row>
    <row r="37" customFormat="false" ht="15" hidden="false" customHeight="false" outlineLevel="0" collapsed="false">
      <c r="A37" s="16"/>
      <c r="B37" s="16"/>
      <c r="C37" s="16"/>
      <c r="D37" s="16"/>
      <c r="E37" s="17"/>
      <c r="F37" s="17"/>
      <c r="G37" s="16"/>
      <c r="H37" s="16"/>
      <c r="I37" s="16"/>
    </row>
    <row r="38" customFormat="false" ht="15" hidden="false" customHeight="false" outlineLevel="0" collapsed="false">
      <c r="A38" s="16"/>
      <c r="B38" s="16"/>
      <c r="C38" s="16"/>
      <c r="D38" s="16"/>
      <c r="E38" s="17"/>
      <c r="F38" s="17"/>
      <c r="G38" s="16"/>
      <c r="H38" s="16"/>
      <c r="I38" s="16"/>
    </row>
    <row r="39" customFormat="false" ht="15" hidden="false" customHeight="false" outlineLevel="0" collapsed="false">
      <c r="A39" s="16"/>
      <c r="B39" s="16"/>
      <c r="C39" s="16"/>
      <c r="D39" s="16"/>
      <c r="E39" s="17"/>
      <c r="F39" s="17"/>
      <c r="G39" s="16"/>
      <c r="H39" s="16"/>
      <c r="I39" s="16"/>
    </row>
    <row r="40" customFormat="false" ht="15" hidden="false" customHeight="false" outlineLevel="0" collapsed="false">
      <c r="A40" s="16"/>
      <c r="B40" s="16"/>
      <c r="C40" s="16"/>
      <c r="D40" s="16"/>
      <c r="E40" s="17"/>
      <c r="F40" s="17"/>
      <c r="G40" s="16"/>
      <c r="H40" s="16"/>
      <c r="I40" s="16"/>
    </row>
    <row r="41" customFormat="false" ht="15" hidden="false" customHeight="false" outlineLevel="0" collapsed="false">
      <c r="A41" s="16"/>
      <c r="B41" s="16"/>
      <c r="C41" s="16"/>
      <c r="D41" s="16"/>
      <c r="E41" s="17"/>
      <c r="F41" s="17"/>
      <c r="G41" s="16"/>
      <c r="H41" s="16"/>
      <c r="I41" s="16"/>
    </row>
    <row r="42" customFormat="false" ht="15" hidden="false" customHeight="false" outlineLevel="0" collapsed="false">
      <c r="A42" s="16"/>
      <c r="B42" s="16"/>
      <c r="C42" s="16"/>
      <c r="D42" s="16"/>
      <c r="E42" s="17"/>
      <c r="F42" s="17"/>
      <c r="G42" s="16"/>
      <c r="H42" s="16"/>
      <c r="I42" s="16"/>
    </row>
    <row r="43" customFormat="false" ht="15" hidden="false" customHeight="false" outlineLevel="0" collapsed="false">
      <c r="A43" s="16"/>
      <c r="B43" s="16"/>
      <c r="C43" s="16"/>
      <c r="D43" s="16"/>
      <c r="E43" s="17"/>
      <c r="F43" s="17"/>
      <c r="G43" s="16"/>
      <c r="H43" s="16"/>
      <c r="I43" s="16"/>
    </row>
    <row r="44" customFormat="false" ht="15" hidden="false" customHeight="false" outlineLevel="0" collapsed="false">
      <c r="A44" s="16"/>
      <c r="B44" s="16"/>
      <c r="C44" s="16"/>
      <c r="D44" s="16"/>
      <c r="E44" s="17"/>
      <c r="F44" s="17"/>
      <c r="G44" s="16"/>
      <c r="H44" s="16"/>
      <c r="I44" s="16"/>
    </row>
    <row r="45" customFormat="false" ht="15" hidden="false" customHeight="false" outlineLevel="0" collapsed="false">
      <c r="A45" s="16"/>
      <c r="B45" s="16"/>
      <c r="C45" s="16"/>
      <c r="D45" s="16"/>
      <c r="E45" s="17"/>
      <c r="F45" s="17"/>
      <c r="G45" s="16"/>
      <c r="H45" s="16"/>
      <c r="I45" s="16"/>
    </row>
    <row r="46" customFormat="false" ht="15" hidden="false" customHeight="false" outlineLevel="0" collapsed="false">
      <c r="A46" s="16"/>
      <c r="B46" s="16"/>
      <c r="C46" s="16"/>
      <c r="D46" s="16"/>
      <c r="E46" s="17"/>
      <c r="F46" s="17"/>
      <c r="G46" s="16"/>
      <c r="H46" s="16"/>
      <c r="I46" s="16"/>
    </row>
    <row r="47" customFormat="false" ht="15" hidden="false" customHeight="false" outlineLevel="0" collapsed="false">
      <c r="A47" s="16"/>
      <c r="B47" s="16"/>
      <c r="C47" s="16"/>
      <c r="D47" s="16"/>
      <c r="E47" s="17"/>
      <c r="F47" s="17"/>
      <c r="G47" s="16"/>
      <c r="H47" s="16"/>
      <c r="I47" s="16"/>
    </row>
    <row r="48" customFormat="false" ht="15" hidden="false" customHeight="false" outlineLevel="0" collapsed="false">
      <c r="A48" s="16"/>
      <c r="B48" s="16"/>
      <c r="C48" s="16"/>
      <c r="D48" s="16"/>
      <c r="E48" s="17"/>
      <c r="F48" s="17"/>
      <c r="G48" s="16"/>
      <c r="H48" s="16"/>
      <c r="I48" s="16"/>
    </row>
    <row r="49" customFormat="false" ht="15" hidden="false" customHeight="false" outlineLevel="0" collapsed="false">
      <c r="A49" s="16"/>
      <c r="B49" s="16"/>
      <c r="C49" s="16"/>
      <c r="D49" s="16"/>
      <c r="E49" s="17"/>
      <c r="F49" s="17"/>
      <c r="G49" s="16"/>
      <c r="H49" s="16"/>
      <c r="I49" s="16"/>
    </row>
    <row r="50" customFormat="false" ht="15" hidden="false" customHeight="false" outlineLevel="0" collapsed="false">
      <c r="A50" s="16"/>
      <c r="B50" s="16"/>
      <c r="C50" s="16"/>
      <c r="D50" s="16"/>
      <c r="E50" s="17"/>
      <c r="F50" s="17"/>
      <c r="G50" s="16"/>
      <c r="H50" s="16"/>
      <c r="I50" s="16"/>
    </row>
    <row r="51" customFormat="false" ht="15" hidden="false" customHeight="false" outlineLevel="0" collapsed="false">
      <c r="A51" s="16"/>
      <c r="B51" s="16"/>
      <c r="C51" s="16"/>
      <c r="D51" s="16"/>
      <c r="E51" s="17"/>
      <c r="F51" s="17"/>
      <c r="G51" s="16"/>
      <c r="H51" s="16"/>
      <c r="I51" s="16"/>
    </row>
    <row r="52" customFormat="false" ht="15" hidden="false" customHeight="false" outlineLevel="0" collapsed="false">
      <c r="A52" s="16"/>
      <c r="B52" s="16"/>
      <c r="C52" s="16"/>
      <c r="D52" s="16"/>
      <c r="E52" s="17"/>
      <c r="F52" s="17"/>
      <c r="G52" s="16"/>
      <c r="H52" s="16"/>
      <c r="I52" s="16"/>
    </row>
    <row r="53" customFormat="false" ht="15" hidden="false" customHeight="false" outlineLevel="0" collapsed="false">
      <c r="A53" s="16"/>
      <c r="B53" s="16"/>
      <c r="C53" s="16"/>
      <c r="D53" s="16"/>
      <c r="E53" s="17"/>
      <c r="F53" s="17"/>
      <c r="G53" s="16"/>
      <c r="H53" s="16"/>
      <c r="I53" s="16"/>
    </row>
    <row r="54" customFormat="false" ht="15" hidden="false" customHeight="false" outlineLevel="0" collapsed="false">
      <c r="A54" s="16"/>
      <c r="B54" s="16"/>
      <c r="C54" s="16"/>
      <c r="D54" s="16"/>
      <c r="E54" s="17"/>
      <c r="F54" s="17"/>
      <c r="G54" s="16"/>
      <c r="H54" s="16"/>
      <c r="I54" s="16"/>
    </row>
    <row r="55" customFormat="false" ht="15" hidden="false" customHeight="false" outlineLevel="0" collapsed="false">
      <c r="A55" s="16"/>
      <c r="B55" s="16"/>
      <c r="C55" s="16"/>
      <c r="D55" s="16"/>
      <c r="E55" s="17"/>
      <c r="F55" s="17"/>
      <c r="G55" s="16"/>
      <c r="H55" s="16"/>
      <c r="I55" s="16"/>
    </row>
    <row r="56" customFormat="false" ht="15" hidden="false" customHeight="false" outlineLevel="0" collapsed="false">
      <c r="A56" s="16"/>
      <c r="B56" s="16"/>
      <c r="C56" s="16"/>
      <c r="D56" s="16"/>
      <c r="E56" s="17"/>
      <c r="F56" s="17"/>
      <c r="G56" s="16"/>
      <c r="H56" s="16"/>
      <c r="I56" s="16"/>
    </row>
    <row r="57" customFormat="false" ht="15" hidden="false" customHeight="false" outlineLevel="0" collapsed="false">
      <c r="A57" s="16"/>
      <c r="B57" s="16"/>
      <c r="C57" s="16"/>
      <c r="D57" s="16"/>
      <c r="E57" s="17"/>
      <c r="F57" s="17"/>
      <c r="G57" s="16"/>
      <c r="H57" s="16"/>
      <c r="I57" s="16"/>
    </row>
    <row r="58" customFormat="false" ht="15" hidden="false" customHeight="false" outlineLevel="0" collapsed="false">
      <c r="A58" s="16"/>
      <c r="B58" s="16"/>
      <c r="C58" s="16"/>
      <c r="D58" s="16"/>
      <c r="E58" s="17"/>
      <c r="F58" s="17"/>
      <c r="G58" s="16"/>
      <c r="H58" s="16"/>
      <c r="I58" s="16"/>
    </row>
    <row r="59" customFormat="false" ht="15" hidden="false" customHeight="false" outlineLevel="0" collapsed="false">
      <c r="A59" s="16"/>
      <c r="B59" s="16"/>
      <c r="C59" s="16"/>
      <c r="D59" s="16"/>
      <c r="E59" s="17"/>
      <c r="F59" s="17"/>
      <c r="G59" s="16"/>
      <c r="H59" s="16"/>
      <c r="I59" s="16"/>
    </row>
    <row r="60" customFormat="false" ht="15" hidden="false" customHeight="false" outlineLevel="0" collapsed="false">
      <c r="A60" s="16"/>
      <c r="B60" s="16"/>
      <c r="C60" s="16"/>
      <c r="D60" s="16"/>
      <c r="E60" s="17"/>
      <c r="F60" s="17"/>
      <c r="G60" s="16"/>
      <c r="H60" s="16"/>
      <c r="I60" s="16"/>
    </row>
    <row r="61" customFormat="false" ht="15" hidden="false" customHeight="false" outlineLevel="0" collapsed="false">
      <c r="A61" s="16"/>
      <c r="B61" s="16"/>
      <c r="C61" s="16"/>
      <c r="D61" s="16"/>
      <c r="E61" s="17"/>
      <c r="F61" s="17"/>
      <c r="G61" s="16"/>
      <c r="H61" s="16"/>
      <c r="I61" s="16"/>
    </row>
    <row r="62" customFormat="false" ht="15" hidden="false" customHeight="false" outlineLevel="0" collapsed="false">
      <c r="A62" s="16"/>
      <c r="B62" s="16"/>
      <c r="C62" s="16"/>
      <c r="D62" s="16"/>
      <c r="E62" s="17"/>
      <c r="F62" s="17"/>
      <c r="G62" s="16"/>
      <c r="H62" s="16"/>
      <c r="I62" s="16"/>
    </row>
    <row r="63" customFormat="false" ht="15" hidden="false" customHeight="false" outlineLevel="0" collapsed="false">
      <c r="A63" s="16"/>
      <c r="B63" s="16"/>
      <c r="C63" s="16"/>
      <c r="D63" s="16"/>
      <c r="E63" s="17"/>
      <c r="F63" s="17"/>
      <c r="G63" s="16"/>
      <c r="H63" s="16"/>
      <c r="I63" s="16"/>
    </row>
    <row r="64" customFormat="false" ht="15" hidden="false" customHeight="false" outlineLevel="0" collapsed="false">
      <c r="A64" s="16"/>
      <c r="B64" s="16"/>
      <c r="C64" s="16"/>
      <c r="D64" s="16"/>
      <c r="E64" s="17"/>
      <c r="F64" s="17"/>
      <c r="G64" s="16"/>
      <c r="H64" s="16"/>
      <c r="I64" s="16"/>
    </row>
    <row r="65" customFormat="false" ht="15" hidden="false" customHeight="false" outlineLevel="0" collapsed="false">
      <c r="A65" s="16"/>
      <c r="B65" s="16"/>
      <c r="C65" s="16"/>
      <c r="D65" s="16"/>
      <c r="E65" s="17"/>
      <c r="F65" s="17"/>
      <c r="G65" s="16"/>
      <c r="H65" s="16"/>
      <c r="I65" s="16"/>
    </row>
    <row r="66" customFormat="false" ht="15" hidden="false" customHeight="false" outlineLevel="0" collapsed="false">
      <c r="A66" s="16"/>
      <c r="B66" s="16"/>
      <c r="C66" s="16"/>
      <c r="D66" s="16"/>
      <c r="E66" s="17"/>
      <c r="F66" s="17"/>
      <c r="G66" s="16"/>
      <c r="H66" s="16"/>
      <c r="I66" s="16"/>
    </row>
    <row r="67" customFormat="false" ht="15" hidden="false" customHeight="false" outlineLevel="0" collapsed="false">
      <c r="A67" s="16"/>
      <c r="B67" s="16"/>
      <c r="C67" s="16"/>
      <c r="D67" s="16"/>
      <c r="E67" s="17"/>
      <c r="F67" s="17"/>
      <c r="G67" s="16"/>
      <c r="H67" s="16"/>
      <c r="I67" s="16"/>
    </row>
    <row r="68" customFormat="false" ht="15" hidden="false" customHeight="false" outlineLevel="0" collapsed="false">
      <c r="A68" s="16"/>
      <c r="B68" s="16"/>
      <c r="C68" s="16"/>
      <c r="D68" s="16"/>
      <c r="E68" s="17"/>
      <c r="F68" s="17"/>
      <c r="G68" s="16"/>
      <c r="H68" s="16"/>
      <c r="I68" s="16"/>
    </row>
    <row r="69" customFormat="false" ht="15" hidden="false" customHeight="false" outlineLevel="0" collapsed="false">
      <c r="A69" s="16"/>
      <c r="B69" s="16"/>
      <c r="C69" s="16"/>
      <c r="D69" s="16"/>
      <c r="E69" s="17"/>
      <c r="F69" s="17"/>
      <c r="G69" s="16"/>
      <c r="H69" s="16"/>
      <c r="I69" s="16"/>
    </row>
    <row r="70" customFormat="false" ht="15" hidden="false" customHeight="false" outlineLevel="0" collapsed="false">
      <c r="A70" s="16"/>
      <c r="B70" s="16"/>
      <c r="C70" s="16"/>
      <c r="D70" s="16"/>
      <c r="E70" s="17"/>
      <c r="F70" s="17"/>
      <c r="G70" s="16"/>
      <c r="H70" s="16"/>
      <c r="I70" s="16"/>
    </row>
    <row r="71" customFormat="false" ht="15" hidden="false" customHeight="false" outlineLevel="0" collapsed="false">
      <c r="A71" s="16"/>
      <c r="B71" s="16"/>
      <c r="C71" s="16"/>
      <c r="D71" s="16"/>
      <c r="E71" s="17"/>
      <c r="F71" s="17"/>
      <c r="G71" s="16"/>
      <c r="H71" s="16"/>
      <c r="I71" s="16"/>
    </row>
    <row r="72" customFormat="false" ht="15" hidden="false" customHeight="false" outlineLevel="0" collapsed="false">
      <c r="A72" s="16"/>
      <c r="B72" s="16"/>
      <c r="C72" s="16"/>
      <c r="D72" s="16"/>
      <c r="E72" s="17"/>
      <c r="F72" s="17"/>
      <c r="G72" s="16"/>
      <c r="H72" s="16"/>
      <c r="I72" s="16"/>
    </row>
    <row r="73" customFormat="false" ht="15" hidden="false" customHeight="false" outlineLevel="0" collapsed="false">
      <c r="A73" s="16"/>
      <c r="B73" s="16"/>
      <c r="C73" s="16"/>
      <c r="D73" s="16"/>
      <c r="E73" s="17"/>
      <c r="F73" s="17"/>
      <c r="G73" s="16"/>
      <c r="H73" s="16"/>
      <c r="I73" s="16"/>
    </row>
    <row r="74" customFormat="false" ht="15" hidden="false" customHeight="false" outlineLevel="0" collapsed="false">
      <c r="A74" s="16"/>
      <c r="B74" s="16"/>
      <c r="C74" s="16"/>
      <c r="D74" s="16"/>
      <c r="E74" s="17"/>
      <c r="F74" s="17"/>
      <c r="G74" s="16"/>
      <c r="H74" s="16"/>
      <c r="I74" s="16"/>
    </row>
    <row r="75" customFormat="false" ht="15" hidden="false" customHeight="false" outlineLevel="0" collapsed="false">
      <c r="A75" s="16"/>
      <c r="B75" s="16"/>
      <c r="C75" s="16"/>
      <c r="D75" s="16"/>
      <c r="E75" s="17"/>
      <c r="F75" s="17"/>
      <c r="G75" s="16"/>
      <c r="H75" s="16"/>
      <c r="I75" s="16"/>
    </row>
    <row r="76" customFormat="false" ht="15" hidden="false" customHeight="false" outlineLevel="0" collapsed="false">
      <c r="A76" s="16"/>
      <c r="B76" s="16"/>
      <c r="C76" s="16"/>
      <c r="D76" s="16"/>
      <c r="E76" s="17"/>
      <c r="F76" s="17"/>
      <c r="G76" s="16"/>
      <c r="H76" s="16"/>
      <c r="I76" s="16"/>
    </row>
    <row r="77" customFormat="false" ht="15" hidden="false" customHeight="false" outlineLevel="0" collapsed="false">
      <c r="A77" s="16"/>
      <c r="B77" s="16"/>
      <c r="C77" s="16"/>
      <c r="D77" s="16"/>
      <c r="E77" s="17"/>
      <c r="F77" s="17"/>
      <c r="G77" s="16"/>
      <c r="H77" s="16"/>
      <c r="I77" s="16"/>
    </row>
    <row r="78" customFormat="false" ht="15" hidden="false" customHeight="false" outlineLevel="0" collapsed="false">
      <c r="A78" s="16"/>
      <c r="B78" s="16"/>
      <c r="C78" s="16"/>
      <c r="D78" s="16"/>
      <c r="E78" s="17"/>
      <c r="F78" s="17"/>
      <c r="G78" s="16"/>
      <c r="H78" s="16"/>
      <c r="I78" s="16"/>
    </row>
    <row r="79" customFormat="false" ht="15" hidden="false" customHeight="false" outlineLevel="0" collapsed="false">
      <c r="A79" s="16"/>
      <c r="B79" s="16"/>
      <c r="C79" s="16"/>
      <c r="D79" s="16"/>
      <c r="E79" s="17"/>
      <c r="F79" s="17"/>
      <c r="G79" s="16"/>
      <c r="H79" s="16"/>
      <c r="I79" s="16"/>
    </row>
    <row r="80" customFormat="false" ht="15" hidden="false" customHeight="false" outlineLevel="0" collapsed="false">
      <c r="A80" s="16"/>
      <c r="B80" s="16"/>
      <c r="C80" s="16"/>
      <c r="D80" s="16"/>
      <c r="E80" s="17"/>
      <c r="F80" s="17"/>
      <c r="G80" s="16"/>
      <c r="H80" s="16"/>
      <c r="I80" s="16"/>
    </row>
    <row r="81" customFormat="false" ht="15" hidden="false" customHeight="false" outlineLevel="0" collapsed="false">
      <c r="A81" s="16"/>
      <c r="B81" s="16"/>
      <c r="C81" s="16"/>
      <c r="D81" s="16"/>
      <c r="E81" s="17"/>
      <c r="F81" s="17"/>
      <c r="G81" s="16"/>
      <c r="H81" s="16"/>
      <c r="I81" s="16"/>
    </row>
    <row r="82" customFormat="false" ht="15" hidden="false" customHeight="false" outlineLevel="0" collapsed="false">
      <c r="A82" s="16"/>
      <c r="B82" s="16"/>
      <c r="C82" s="16"/>
      <c r="D82" s="16"/>
      <c r="E82" s="17"/>
      <c r="F82" s="17"/>
      <c r="G82" s="16"/>
      <c r="H82" s="16"/>
      <c r="I82" s="16"/>
    </row>
    <row r="83" customFormat="false" ht="15" hidden="false" customHeight="false" outlineLevel="0" collapsed="false">
      <c r="A83" s="16"/>
      <c r="B83" s="16"/>
      <c r="C83" s="16"/>
      <c r="D83" s="16"/>
      <c r="E83" s="17"/>
      <c r="F83" s="17"/>
      <c r="G83" s="16"/>
      <c r="H83" s="16"/>
      <c r="I83" s="16"/>
    </row>
    <row r="84" customFormat="false" ht="15" hidden="false" customHeight="false" outlineLevel="0" collapsed="false">
      <c r="A84" s="16"/>
      <c r="B84" s="16"/>
      <c r="C84" s="16"/>
      <c r="D84" s="16"/>
      <c r="E84" s="17"/>
      <c r="F84" s="17"/>
      <c r="G84" s="16"/>
      <c r="H84" s="16"/>
      <c r="I84" s="16"/>
    </row>
    <row r="85" customFormat="false" ht="15" hidden="false" customHeight="false" outlineLevel="0" collapsed="false">
      <c r="A85" s="16"/>
      <c r="B85" s="16"/>
      <c r="C85" s="16"/>
      <c r="D85" s="16"/>
      <c r="E85" s="17"/>
      <c r="F85" s="17"/>
      <c r="G85" s="16"/>
      <c r="H85" s="16"/>
      <c r="I85" s="16"/>
    </row>
    <row r="86" customFormat="false" ht="15" hidden="false" customHeight="false" outlineLevel="0" collapsed="false">
      <c r="A86" s="16"/>
      <c r="B86" s="16"/>
      <c r="C86" s="16"/>
      <c r="D86" s="16"/>
      <c r="E86" s="17"/>
      <c r="F86" s="17"/>
      <c r="G86" s="16"/>
      <c r="H86" s="16"/>
      <c r="I86" s="16"/>
    </row>
    <row r="87" customFormat="false" ht="15" hidden="false" customHeight="false" outlineLevel="0" collapsed="false">
      <c r="A87" s="16"/>
      <c r="B87" s="16"/>
      <c r="C87" s="16"/>
      <c r="D87" s="16"/>
      <c r="E87" s="17"/>
      <c r="F87" s="17"/>
      <c r="G87" s="16"/>
      <c r="H87" s="16"/>
      <c r="I87" s="16"/>
    </row>
    <row r="88" customFormat="false" ht="15" hidden="false" customHeight="false" outlineLevel="0" collapsed="false">
      <c r="A88" s="16"/>
      <c r="B88" s="16"/>
      <c r="C88" s="16"/>
      <c r="D88" s="16"/>
      <c r="E88" s="17"/>
      <c r="F88" s="17"/>
      <c r="G88" s="16"/>
      <c r="H88" s="16"/>
      <c r="I88" s="16"/>
    </row>
    <row r="89" customFormat="false" ht="15" hidden="false" customHeight="false" outlineLevel="0" collapsed="false">
      <c r="A89" s="16"/>
      <c r="B89" s="16"/>
      <c r="C89" s="16"/>
      <c r="D89" s="16"/>
      <c r="E89" s="17"/>
      <c r="F89" s="17"/>
      <c r="G89" s="16"/>
      <c r="H89" s="16"/>
      <c r="I89" s="16"/>
    </row>
    <row r="90" customFormat="false" ht="15" hidden="false" customHeight="false" outlineLevel="0" collapsed="false">
      <c r="A90" s="16"/>
      <c r="B90" s="16"/>
      <c r="C90" s="16"/>
      <c r="D90" s="16"/>
      <c r="E90" s="17"/>
      <c r="F90" s="17"/>
      <c r="G90" s="16"/>
      <c r="H90" s="16"/>
      <c r="I90" s="16"/>
    </row>
    <row r="91" customFormat="false" ht="15" hidden="false" customHeight="false" outlineLevel="0" collapsed="false">
      <c r="A91" s="16"/>
      <c r="B91" s="16"/>
      <c r="C91" s="16"/>
      <c r="D91" s="16"/>
      <c r="E91" s="17"/>
      <c r="F91" s="17"/>
      <c r="G91" s="16"/>
      <c r="H91" s="16"/>
      <c r="I91" s="16"/>
    </row>
    <row r="92" customFormat="false" ht="15" hidden="false" customHeight="false" outlineLevel="0" collapsed="false">
      <c r="A92" s="16"/>
      <c r="B92" s="16"/>
      <c r="C92" s="16"/>
      <c r="D92" s="16"/>
      <c r="E92" s="17"/>
      <c r="F92" s="17"/>
      <c r="G92" s="16"/>
      <c r="H92" s="16"/>
      <c r="I92" s="16"/>
    </row>
    <row r="93" customFormat="false" ht="15" hidden="false" customHeight="false" outlineLevel="0" collapsed="false">
      <c r="A93" s="16"/>
      <c r="B93" s="16"/>
      <c r="C93" s="16"/>
      <c r="D93" s="16"/>
      <c r="E93" s="17"/>
      <c r="F93" s="17"/>
      <c r="G93" s="16"/>
      <c r="H93" s="16"/>
      <c r="I93" s="16"/>
    </row>
    <row r="94" customFormat="false" ht="15" hidden="false" customHeight="false" outlineLevel="0" collapsed="false">
      <c r="A94" s="16"/>
      <c r="B94" s="16"/>
      <c r="C94" s="16"/>
      <c r="D94" s="16"/>
      <c r="E94" s="17"/>
      <c r="F94" s="17"/>
      <c r="G94" s="16"/>
      <c r="H94" s="16"/>
      <c r="I94" s="16"/>
    </row>
    <row r="95" customFormat="false" ht="15" hidden="false" customHeight="false" outlineLevel="0" collapsed="false">
      <c r="A95" s="16"/>
      <c r="B95" s="16"/>
      <c r="C95" s="16"/>
      <c r="D95" s="16"/>
      <c r="E95" s="17"/>
      <c r="F95" s="17"/>
      <c r="G95" s="16"/>
      <c r="H95" s="16"/>
      <c r="I95" s="16"/>
    </row>
    <row r="96" customFormat="false" ht="15" hidden="false" customHeight="false" outlineLevel="0" collapsed="false">
      <c r="A96" s="16"/>
      <c r="B96" s="16"/>
      <c r="C96" s="16"/>
      <c r="D96" s="16"/>
      <c r="E96" s="17"/>
      <c r="F96" s="17"/>
      <c r="G96" s="16"/>
      <c r="H96" s="16"/>
      <c r="I96" s="16"/>
    </row>
    <row r="97" customFormat="false" ht="15" hidden="false" customHeight="false" outlineLevel="0" collapsed="false">
      <c r="A97" s="16"/>
      <c r="B97" s="16"/>
      <c r="C97" s="16"/>
      <c r="D97" s="16"/>
      <c r="E97" s="17"/>
      <c r="F97" s="17"/>
      <c r="G97" s="16"/>
      <c r="H97" s="16"/>
      <c r="I97" s="16"/>
    </row>
    <row r="98" customFormat="false" ht="15" hidden="false" customHeight="false" outlineLevel="0" collapsed="false">
      <c r="A98" s="16"/>
      <c r="B98" s="16"/>
      <c r="C98" s="16"/>
      <c r="D98" s="16"/>
      <c r="E98" s="17"/>
      <c r="F98" s="17"/>
      <c r="G98" s="16"/>
      <c r="H98" s="16"/>
      <c r="I98" s="16"/>
    </row>
    <row r="99" customFormat="false" ht="15" hidden="false" customHeight="false" outlineLevel="0" collapsed="false">
      <c r="A99" s="16"/>
      <c r="B99" s="16"/>
      <c r="C99" s="16"/>
      <c r="D99" s="16"/>
      <c r="E99" s="17"/>
      <c r="F99" s="17"/>
      <c r="G99" s="16"/>
      <c r="H99" s="16"/>
      <c r="I99" s="16"/>
    </row>
    <row r="100" customFormat="false" ht="15" hidden="false" customHeight="false" outlineLevel="0" collapsed="false">
      <c r="A100" s="16"/>
      <c r="B100" s="16"/>
      <c r="C100" s="16"/>
      <c r="D100" s="16"/>
      <c r="E100" s="17"/>
      <c r="F100" s="17"/>
      <c r="G100" s="16"/>
      <c r="H100" s="16"/>
      <c r="I100" s="16"/>
    </row>
    <row r="101" customFormat="false" ht="15" hidden="false" customHeight="false" outlineLevel="0" collapsed="false">
      <c r="A101" s="16"/>
      <c r="B101" s="16"/>
      <c r="C101" s="16"/>
      <c r="D101" s="16"/>
      <c r="E101" s="17"/>
      <c r="F101" s="17"/>
      <c r="G101" s="16"/>
      <c r="H101" s="16"/>
      <c r="I101" s="16"/>
    </row>
    <row r="102" customFormat="false" ht="15" hidden="false" customHeight="false" outlineLevel="0" collapsed="false">
      <c r="A102" s="16"/>
      <c r="B102" s="16"/>
      <c r="C102" s="16"/>
      <c r="D102" s="16"/>
      <c r="E102" s="17"/>
      <c r="F102" s="17"/>
      <c r="G102" s="16"/>
      <c r="H102" s="16"/>
      <c r="I102" s="16"/>
    </row>
    <row r="103" customFormat="false" ht="15" hidden="false" customHeight="false" outlineLevel="0" collapsed="false">
      <c r="A103" s="16"/>
      <c r="B103" s="16"/>
      <c r="C103" s="16"/>
      <c r="D103" s="16"/>
      <c r="E103" s="17"/>
      <c r="F103" s="17"/>
      <c r="G103" s="16"/>
      <c r="H103" s="16"/>
      <c r="I103" s="16"/>
    </row>
    <row r="104" customFormat="false" ht="15" hidden="false" customHeight="false" outlineLevel="0" collapsed="false">
      <c r="A104" s="16"/>
      <c r="B104" s="16"/>
      <c r="C104" s="16"/>
      <c r="D104" s="16"/>
      <c r="E104" s="17"/>
      <c r="F104" s="17"/>
      <c r="G104" s="16"/>
      <c r="H104" s="16"/>
      <c r="I104" s="16"/>
    </row>
    <row r="105" customFormat="false" ht="15" hidden="false" customHeight="false" outlineLevel="0" collapsed="false">
      <c r="A105" s="16"/>
      <c r="B105" s="16"/>
      <c r="C105" s="16"/>
      <c r="D105" s="16"/>
      <c r="E105" s="17"/>
      <c r="F105" s="17"/>
      <c r="G105" s="16"/>
      <c r="H105" s="16"/>
      <c r="I105" s="16"/>
    </row>
    <row r="106" customFormat="false" ht="15" hidden="false" customHeight="false" outlineLevel="0" collapsed="false">
      <c r="A106" s="16"/>
      <c r="B106" s="16"/>
      <c r="C106" s="16"/>
      <c r="D106" s="16"/>
      <c r="E106" s="17"/>
      <c r="F106" s="17"/>
      <c r="G106" s="16"/>
      <c r="H106" s="16"/>
      <c r="I106" s="16"/>
    </row>
    <row r="107" customFormat="false" ht="15" hidden="false" customHeight="false" outlineLevel="0" collapsed="false">
      <c r="A107" s="16"/>
      <c r="B107" s="16"/>
      <c r="C107" s="16"/>
      <c r="D107" s="16"/>
      <c r="E107" s="17"/>
      <c r="F107" s="17"/>
      <c r="G107" s="16"/>
      <c r="H107" s="16"/>
      <c r="I107" s="16"/>
    </row>
    <row r="108" customFormat="false" ht="15" hidden="false" customHeight="false" outlineLevel="0" collapsed="false">
      <c r="A108" s="16"/>
      <c r="B108" s="16"/>
      <c r="C108" s="16"/>
      <c r="D108" s="16"/>
      <c r="E108" s="17"/>
      <c r="F108" s="17"/>
      <c r="G108" s="16"/>
      <c r="H108" s="16"/>
      <c r="I108" s="16"/>
    </row>
    <row r="109" customFormat="false" ht="15" hidden="false" customHeight="false" outlineLevel="0" collapsed="false">
      <c r="A109" s="16"/>
      <c r="B109" s="16"/>
      <c r="C109" s="16"/>
      <c r="D109" s="16"/>
      <c r="E109" s="17"/>
      <c r="F109" s="17"/>
      <c r="G109" s="16"/>
      <c r="H109" s="16"/>
      <c r="I109" s="16"/>
    </row>
    <row r="110" customFormat="false" ht="15" hidden="false" customHeight="false" outlineLevel="0" collapsed="false">
      <c r="A110" s="16"/>
      <c r="B110" s="16"/>
      <c r="C110" s="16"/>
      <c r="D110" s="16"/>
      <c r="E110" s="17"/>
      <c r="F110" s="17"/>
      <c r="G110" s="16"/>
      <c r="H110" s="16"/>
      <c r="I110" s="16"/>
    </row>
    <row r="111" customFormat="false" ht="15" hidden="false" customHeight="false" outlineLevel="0" collapsed="false">
      <c r="A111" s="16"/>
      <c r="B111" s="16"/>
      <c r="C111" s="16"/>
      <c r="D111" s="16"/>
      <c r="E111" s="17"/>
      <c r="F111" s="17"/>
      <c r="G111" s="16"/>
      <c r="H111" s="16"/>
      <c r="I111" s="16"/>
    </row>
    <row r="112" customFormat="false" ht="15" hidden="false" customHeight="false" outlineLevel="0" collapsed="false">
      <c r="A112" s="16"/>
      <c r="B112" s="16"/>
      <c r="C112" s="16"/>
      <c r="D112" s="16"/>
      <c r="E112" s="17"/>
      <c r="F112" s="17"/>
      <c r="G112" s="16"/>
      <c r="H112" s="16"/>
      <c r="I112" s="16"/>
    </row>
    <row r="113" customFormat="false" ht="15" hidden="false" customHeight="false" outlineLevel="0" collapsed="false">
      <c r="A113" s="16"/>
      <c r="B113" s="16"/>
      <c r="C113" s="16"/>
      <c r="D113" s="16"/>
      <c r="E113" s="17"/>
      <c r="F113" s="17"/>
      <c r="G113" s="16"/>
      <c r="H113" s="16"/>
      <c r="I113" s="16"/>
    </row>
    <row r="114" customFormat="false" ht="15" hidden="false" customHeight="false" outlineLevel="0" collapsed="false">
      <c r="A114" s="16"/>
      <c r="B114" s="16"/>
      <c r="C114" s="16"/>
      <c r="D114" s="16"/>
      <c r="E114" s="17"/>
      <c r="F114" s="17"/>
      <c r="G114" s="16"/>
      <c r="H114" s="16"/>
      <c r="I114" s="16"/>
    </row>
    <row r="115" customFormat="false" ht="15" hidden="false" customHeight="false" outlineLevel="0" collapsed="false">
      <c r="A115" s="16"/>
      <c r="B115" s="16"/>
      <c r="C115" s="16"/>
      <c r="D115" s="16"/>
      <c r="E115" s="17"/>
      <c r="F115" s="17"/>
      <c r="G115" s="16"/>
      <c r="H115" s="16"/>
      <c r="I115" s="16"/>
    </row>
    <row r="116" customFormat="false" ht="15" hidden="false" customHeight="false" outlineLevel="0" collapsed="false">
      <c r="A116" s="16"/>
      <c r="B116" s="16"/>
      <c r="C116" s="16"/>
      <c r="D116" s="16"/>
      <c r="E116" s="17"/>
      <c r="F116" s="17"/>
      <c r="G116" s="16"/>
      <c r="H116" s="16"/>
      <c r="I116" s="16"/>
    </row>
    <row r="117" customFormat="false" ht="15" hidden="false" customHeight="false" outlineLevel="0" collapsed="false">
      <c r="A117" s="16"/>
      <c r="B117" s="16"/>
      <c r="C117" s="16"/>
      <c r="D117" s="16"/>
      <c r="E117" s="17"/>
      <c r="F117" s="17"/>
      <c r="G117" s="16"/>
      <c r="H117" s="16"/>
      <c r="I117" s="16"/>
    </row>
    <row r="118" customFormat="false" ht="15" hidden="false" customHeight="false" outlineLevel="0" collapsed="false">
      <c r="A118" s="16"/>
      <c r="B118" s="16"/>
      <c r="C118" s="16"/>
      <c r="D118" s="16"/>
      <c r="E118" s="17"/>
      <c r="F118" s="17"/>
      <c r="G118" s="16"/>
      <c r="H118" s="16"/>
      <c r="I118" s="16"/>
    </row>
    <row r="119" customFormat="false" ht="15" hidden="false" customHeight="false" outlineLevel="0" collapsed="false">
      <c r="A119" s="16"/>
      <c r="B119" s="16"/>
      <c r="C119" s="16"/>
      <c r="D119" s="16"/>
      <c r="E119" s="17"/>
      <c r="F119" s="17"/>
      <c r="G119" s="16"/>
      <c r="H119" s="16"/>
      <c r="I119" s="16"/>
    </row>
    <row r="120" customFormat="false" ht="15" hidden="false" customHeight="false" outlineLevel="0" collapsed="false">
      <c r="A120" s="16"/>
      <c r="B120" s="16"/>
      <c r="C120" s="16"/>
      <c r="D120" s="16"/>
      <c r="E120" s="17"/>
      <c r="F120" s="17"/>
      <c r="G120" s="16"/>
      <c r="H120" s="16"/>
      <c r="I120" s="16"/>
    </row>
    <row r="121" customFormat="false" ht="15" hidden="false" customHeight="false" outlineLevel="0" collapsed="false">
      <c r="A121" s="16"/>
      <c r="B121" s="16"/>
      <c r="C121" s="16"/>
      <c r="D121" s="16"/>
      <c r="E121" s="17"/>
      <c r="F121" s="17"/>
      <c r="G121" s="16"/>
      <c r="H121" s="16"/>
      <c r="I121" s="16"/>
    </row>
    <row r="122" customFormat="false" ht="15" hidden="false" customHeight="false" outlineLevel="0" collapsed="false">
      <c r="A122" s="16"/>
      <c r="B122" s="16"/>
      <c r="C122" s="16"/>
      <c r="D122" s="16"/>
      <c r="E122" s="17"/>
      <c r="F122" s="17"/>
      <c r="G122" s="16"/>
      <c r="H122" s="16"/>
      <c r="I122" s="16"/>
    </row>
    <row r="123" customFormat="false" ht="15" hidden="false" customHeight="false" outlineLevel="0" collapsed="false">
      <c r="A123" s="16"/>
      <c r="B123" s="16"/>
      <c r="C123" s="16"/>
      <c r="D123" s="16"/>
      <c r="E123" s="17"/>
      <c r="F123" s="17"/>
      <c r="G123" s="16"/>
      <c r="H123" s="16"/>
      <c r="I123" s="16"/>
    </row>
    <row r="124" customFormat="false" ht="15" hidden="false" customHeight="false" outlineLevel="0" collapsed="false">
      <c r="A124" s="16"/>
      <c r="B124" s="16"/>
      <c r="C124" s="16"/>
      <c r="D124" s="16"/>
      <c r="E124" s="17"/>
      <c r="F124" s="17"/>
      <c r="G124" s="16"/>
      <c r="H124" s="16"/>
      <c r="I124" s="16"/>
    </row>
    <row r="125" customFormat="false" ht="15" hidden="false" customHeight="false" outlineLevel="0" collapsed="false">
      <c r="A125" s="16"/>
      <c r="B125" s="16"/>
      <c r="C125" s="16"/>
      <c r="D125" s="16"/>
      <c r="E125" s="17"/>
      <c r="F125" s="17"/>
      <c r="G125" s="16"/>
      <c r="H125" s="16"/>
      <c r="I125" s="16"/>
    </row>
    <row r="126" customFormat="false" ht="15" hidden="false" customHeight="false" outlineLevel="0" collapsed="false">
      <c r="A126" s="16"/>
      <c r="B126" s="16"/>
      <c r="C126" s="16"/>
      <c r="D126" s="16"/>
      <c r="E126" s="17"/>
      <c r="F126" s="17"/>
      <c r="G126" s="16"/>
      <c r="H126" s="16"/>
      <c r="I126" s="16"/>
    </row>
    <row r="127" customFormat="false" ht="15" hidden="false" customHeight="false" outlineLevel="0" collapsed="false">
      <c r="A127" s="16"/>
      <c r="B127" s="16"/>
      <c r="C127" s="16"/>
      <c r="D127" s="16"/>
      <c r="E127" s="17"/>
      <c r="F127" s="17"/>
      <c r="G127" s="16"/>
      <c r="H127" s="16"/>
      <c r="I127" s="16"/>
    </row>
    <row r="128" customFormat="false" ht="15" hidden="false" customHeight="false" outlineLevel="0" collapsed="false">
      <c r="A128" s="16"/>
      <c r="B128" s="16"/>
      <c r="C128" s="16"/>
      <c r="D128" s="16"/>
      <c r="E128" s="17"/>
      <c r="F128" s="17"/>
      <c r="G128" s="16"/>
      <c r="H128" s="16"/>
      <c r="I128" s="16"/>
    </row>
    <row r="129" customFormat="false" ht="15" hidden="false" customHeight="false" outlineLevel="0" collapsed="false">
      <c r="A129" s="16"/>
      <c r="B129" s="16"/>
      <c r="C129" s="16"/>
      <c r="D129" s="16"/>
      <c r="E129" s="17"/>
      <c r="F129" s="17"/>
      <c r="G129" s="16"/>
      <c r="H129" s="16"/>
      <c r="I129" s="16"/>
    </row>
    <row r="130" customFormat="false" ht="15" hidden="false" customHeight="false" outlineLevel="0" collapsed="false">
      <c r="A130" s="16"/>
      <c r="B130" s="16"/>
      <c r="C130" s="16"/>
      <c r="D130" s="16"/>
      <c r="E130" s="17"/>
      <c r="F130" s="17"/>
      <c r="G130" s="16"/>
      <c r="H130" s="16"/>
      <c r="I130" s="16"/>
    </row>
    <row r="131" customFormat="false" ht="15" hidden="false" customHeight="false" outlineLevel="0" collapsed="false">
      <c r="A131" s="16"/>
      <c r="B131" s="16"/>
      <c r="C131" s="16"/>
      <c r="D131" s="16"/>
      <c r="E131" s="17"/>
      <c r="F131" s="17"/>
      <c r="G131" s="16"/>
      <c r="H131" s="16"/>
      <c r="I131" s="16"/>
    </row>
    <row r="132" customFormat="false" ht="15" hidden="false" customHeight="false" outlineLevel="0" collapsed="false">
      <c r="A132" s="16"/>
      <c r="B132" s="16"/>
      <c r="C132" s="16"/>
      <c r="D132" s="16"/>
      <c r="E132" s="17"/>
      <c r="F132" s="17"/>
      <c r="G132" s="16"/>
      <c r="H132" s="16"/>
      <c r="I132" s="16"/>
    </row>
    <row r="133" customFormat="false" ht="15" hidden="false" customHeight="false" outlineLevel="0" collapsed="false">
      <c r="A133" s="16"/>
      <c r="B133" s="16"/>
      <c r="C133" s="16"/>
      <c r="D133" s="16"/>
      <c r="E133" s="17"/>
      <c r="F133" s="17"/>
      <c r="G133" s="16"/>
      <c r="H133" s="16"/>
      <c r="I133" s="16"/>
    </row>
    <row r="134" customFormat="false" ht="15" hidden="false" customHeight="false" outlineLevel="0" collapsed="false">
      <c r="A134" s="16"/>
      <c r="B134" s="16"/>
      <c r="C134" s="16"/>
      <c r="D134" s="16"/>
      <c r="E134" s="17"/>
      <c r="F134" s="17"/>
      <c r="G134" s="16"/>
      <c r="H134" s="16"/>
      <c r="I134" s="16"/>
    </row>
    <row r="135" customFormat="false" ht="15" hidden="false" customHeight="false" outlineLevel="0" collapsed="false">
      <c r="A135" s="16"/>
      <c r="B135" s="16"/>
      <c r="C135" s="16"/>
      <c r="D135" s="16"/>
      <c r="E135" s="17"/>
      <c r="F135" s="17"/>
      <c r="G135" s="16"/>
      <c r="H135" s="16"/>
      <c r="I135" s="16"/>
    </row>
    <row r="136" customFormat="false" ht="15" hidden="false" customHeight="false" outlineLevel="0" collapsed="false">
      <c r="A136" s="16"/>
      <c r="B136" s="16"/>
      <c r="C136" s="16"/>
      <c r="D136" s="16"/>
      <c r="E136" s="17"/>
      <c r="F136" s="17"/>
      <c r="G136" s="16"/>
      <c r="H136" s="16"/>
      <c r="I136" s="16"/>
    </row>
    <row r="137" customFormat="false" ht="15" hidden="false" customHeight="false" outlineLevel="0" collapsed="false">
      <c r="A137" s="16"/>
      <c r="B137" s="16"/>
      <c r="C137" s="16"/>
      <c r="D137" s="16"/>
      <c r="E137" s="17"/>
      <c r="F137" s="17"/>
      <c r="G137" s="16"/>
      <c r="H137" s="16"/>
      <c r="I137" s="16"/>
    </row>
    <row r="138" customFormat="false" ht="15" hidden="false" customHeight="false" outlineLevel="0" collapsed="false">
      <c r="A138" s="16"/>
      <c r="B138" s="16"/>
      <c r="C138" s="16"/>
      <c r="D138" s="16"/>
      <c r="E138" s="17"/>
      <c r="F138" s="17"/>
      <c r="G138" s="16"/>
      <c r="H138" s="16"/>
      <c r="I138" s="16"/>
    </row>
    <row r="139" customFormat="false" ht="15" hidden="false" customHeight="false" outlineLevel="0" collapsed="false">
      <c r="A139" s="16"/>
      <c r="B139" s="16"/>
      <c r="C139" s="16"/>
      <c r="D139" s="16"/>
      <c r="E139" s="17"/>
      <c r="F139" s="17"/>
      <c r="G139" s="16"/>
      <c r="H139" s="16"/>
      <c r="I139" s="16"/>
    </row>
    <row r="140" customFormat="false" ht="15" hidden="false" customHeight="false" outlineLevel="0" collapsed="false">
      <c r="A140" s="16"/>
      <c r="B140" s="16"/>
      <c r="C140" s="16"/>
      <c r="D140" s="16"/>
      <c r="E140" s="17"/>
      <c r="F140" s="17"/>
      <c r="G140" s="16"/>
      <c r="H140" s="16"/>
      <c r="I140" s="16"/>
    </row>
    <row r="141" customFormat="false" ht="15" hidden="false" customHeight="false" outlineLevel="0" collapsed="false">
      <c r="A141" s="16"/>
      <c r="B141" s="16"/>
      <c r="C141" s="16"/>
      <c r="D141" s="16"/>
      <c r="E141" s="17"/>
      <c r="F141" s="17"/>
      <c r="G141" s="16"/>
      <c r="H141" s="16"/>
      <c r="I141" s="16"/>
    </row>
    <row r="142" customFormat="false" ht="15" hidden="false" customHeight="false" outlineLevel="0" collapsed="false">
      <c r="A142" s="16"/>
      <c r="B142" s="16"/>
      <c r="C142" s="16"/>
      <c r="D142" s="16"/>
      <c r="E142" s="17"/>
      <c r="F142" s="17"/>
      <c r="G142" s="16"/>
      <c r="H142" s="16"/>
      <c r="I142" s="16"/>
    </row>
    <row r="143" customFormat="false" ht="15" hidden="false" customHeight="false" outlineLevel="0" collapsed="false">
      <c r="A143" s="16"/>
      <c r="B143" s="16"/>
      <c r="C143" s="16"/>
      <c r="D143" s="16"/>
      <c r="E143" s="17"/>
      <c r="F143" s="17"/>
      <c r="G143" s="16"/>
      <c r="H143" s="16"/>
      <c r="I143" s="16"/>
    </row>
    <row r="144" customFormat="false" ht="15" hidden="false" customHeight="false" outlineLevel="0" collapsed="false">
      <c r="A144" s="16"/>
      <c r="B144" s="16"/>
      <c r="C144" s="16"/>
      <c r="D144" s="16"/>
      <c r="E144" s="17"/>
      <c r="F144" s="17"/>
      <c r="G144" s="16"/>
      <c r="H144" s="16"/>
      <c r="I144" s="16"/>
    </row>
    <row r="145" customFormat="false" ht="15" hidden="false" customHeight="false" outlineLevel="0" collapsed="false">
      <c r="A145" s="16"/>
      <c r="B145" s="16"/>
      <c r="C145" s="16"/>
      <c r="D145" s="16"/>
      <c r="E145" s="17"/>
      <c r="F145" s="17"/>
      <c r="G145" s="16"/>
      <c r="H145" s="16"/>
      <c r="I145" s="16"/>
    </row>
    <row r="146" customFormat="false" ht="15" hidden="false" customHeight="false" outlineLevel="0" collapsed="false">
      <c r="A146" s="16"/>
      <c r="B146" s="16"/>
      <c r="C146" s="16"/>
      <c r="D146" s="16"/>
      <c r="E146" s="17"/>
      <c r="F146" s="17"/>
      <c r="G146" s="16"/>
      <c r="H146" s="16"/>
      <c r="I146" s="16"/>
    </row>
    <row r="147" customFormat="false" ht="15" hidden="false" customHeight="false" outlineLevel="0" collapsed="false">
      <c r="A147" s="16"/>
      <c r="B147" s="16"/>
      <c r="C147" s="16"/>
      <c r="D147" s="16"/>
      <c r="E147" s="17"/>
      <c r="F147" s="17"/>
      <c r="G147" s="16"/>
      <c r="H147" s="16"/>
      <c r="I147" s="16"/>
    </row>
    <row r="148" customFormat="false" ht="15" hidden="false" customHeight="false" outlineLevel="0" collapsed="false">
      <c r="A148" s="16"/>
      <c r="B148" s="16"/>
      <c r="C148" s="16"/>
      <c r="D148" s="16"/>
      <c r="E148" s="17"/>
      <c r="F148" s="17"/>
      <c r="G148" s="16"/>
      <c r="H148" s="16"/>
      <c r="I148" s="16"/>
    </row>
    <row r="149" customFormat="false" ht="15" hidden="false" customHeight="false" outlineLevel="0" collapsed="false">
      <c r="A149" s="16"/>
      <c r="B149" s="16"/>
      <c r="C149" s="16"/>
      <c r="D149" s="16"/>
      <c r="E149" s="17"/>
      <c r="F149" s="17"/>
      <c r="G149" s="16"/>
      <c r="H149" s="16"/>
      <c r="I149" s="16"/>
    </row>
    <row r="150" customFormat="false" ht="15" hidden="false" customHeight="false" outlineLevel="0" collapsed="false">
      <c r="A150" s="16"/>
      <c r="B150" s="16"/>
      <c r="C150" s="16"/>
      <c r="D150" s="16"/>
      <c r="E150" s="17"/>
      <c r="F150" s="17"/>
      <c r="G150" s="16"/>
      <c r="H150" s="16"/>
      <c r="I150" s="16"/>
    </row>
    <row r="151" customFormat="false" ht="15" hidden="false" customHeight="false" outlineLevel="0" collapsed="false">
      <c r="A151" s="16"/>
      <c r="B151" s="16"/>
      <c r="C151" s="16"/>
      <c r="D151" s="16"/>
      <c r="E151" s="17"/>
      <c r="F151" s="17"/>
      <c r="G151" s="16"/>
      <c r="H151" s="16"/>
      <c r="I151" s="16"/>
    </row>
    <row r="152" customFormat="false" ht="15" hidden="false" customHeight="false" outlineLevel="0" collapsed="false">
      <c r="A152" s="16"/>
      <c r="B152" s="16"/>
      <c r="C152" s="16"/>
      <c r="D152" s="16"/>
      <c r="E152" s="17"/>
      <c r="F152" s="17"/>
      <c r="G152" s="16"/>
      <c r="H152" s="16"/>
      <c r="I152" s="16"/>
    </row>
    <row r="153" customFormat="false" ht="15" hidden="false" customHeight="false" outlineLevel="0" collapsed="false">
      <c r="A153" s="16"/>
      <c r="B153" s="16"/>
      <c r="C153" s="16"/>
      <c r="D153" s="16"/>
      <c r="E153" s="17"/>
      <c r="F153" s="17"/>
      <c r="G153" s="16"/>
      <c r="H153" s="16"/>
      <c r="I153" s="16"/>
    </row>
    <row r="154" customFormat="false" ht="15" hidden="false" customHeight="false" outlineLevel="0" collapsed="false">
      <c r="A154" s="16"/>
      <c r="B154" s="16"/>
      <c r="C154" s="16"/>
      <c r="D154" s="16"/>
      <c r="E154" s="17"/>
      <c r="F154" s="17"/>
      <c r="G154" s="16"/>
      <c r="H154" s="16"/>
      <c r="I154" s="16"/>
    </row>
    <row r="155" customFormat="false" ht="15" hidden="false" customHeight="false" outlineLevel="0" collapsed="false">
      <c r="A155" s="16"/>
      <c r="B155" s="16"/>
      <c r="C155" s="16"/>
      <c r="D155" s="16"/>
      <c r="E155" s="17"/>
      <c r="F155" s="17"/>
      <c r="G155" s="16"/>
      <c r="H155" s="16"/>
      <c r="I155" s="16"/>
    </row>
    <row r="156" customFormat="false" ht="15" hidden="false" customHeight="false" outlineLevel="0" collapsed="false">
      <c r="A156" s="16"/>
      <c r="B156" s="16"/>
      <c r="C156" s="16"/>
      <c r="D156" s="16"/>
      <c r="E156" s="17"/>
      <c r="F156" s="17"/>
      <c r="G156" s="16"/>
      <c r="H156" s="16"/>
      <c r="I156" s="16"/>
    </row>
    <row r="157" customFormat="false" ht="15" hidden="false" customHeight="false" outlineLevel="0" collapsed="false">
      <c r="A157" s="16"/>
      <c r="B157" s="16"/>
      <c r="C157" s="16"/>
      <c r="D157" s="16"/>
      <c r="E157" s="17"/>
      <c r="F157" s="17"/>
      <c r="G157" s="16"/>
      <c r="H157" s="16"/>
      <c r="I157" s="16"/>
    </row>
    <row r="158" customFormat="false" ht="15" hidden="false" customHeight="false" outlineLevel="0" collapsed="false">
      <c r="A158" s="16"/>
      <c r="B158" s="16"/>
      <c r="C158" s="16"/>
      <c r="D158" s="16"/>
      <c r="E158" s="17"/>
      <c r="F158" s="17"/>
      <c r="G158" s="16"/>
      <c r="H158" s="16"/>
      <c r="I158" s="16"/>
    </row>
    <row r="159" customFormat="false" ht="15" hidden="false" customHeight="false" outlineLevel="0" collapsed="false">
      <c r="A159" s="16"/>
      <c r="B159" s="16"/>
      <c r="C159" s="16"/>
      <c r="D159" s="16"/>
      <c r="E159" s="17"/>
      <c r="F159" s="17"/>
      <c r="G159" s="16"/>
      <c r="H159" s="16"/>
      <c r="I159" s="16"/>
    </row>
    <row r="160" customFormat="false" ht="15" hidden="false" customHeight="false" outlineLevel="0" collapsed="false">
      <c r="A160" s="16"/>
      <c r="B160" s="16"/>
      <c r="C160" s="16"/>
      <c r="D160" s="16"/>
      <c r="E160" s="17"/>
      <c r="F160" s="17"/>
      <c r="G160" s="16"/>
      <c r="H160" s="16"/>
      <c r="I160" s="16"/>
    </row>
    <row r="161" customFormat="false" ht="15" hidden="false" customHeight="false" outlineLevel="0" collapsed="false">
      <c r="A161" s="16"/>
      <c r="B161" s="16"/>
      <c r="C161" s="16"/>
      <c r="D161" s="16"/>
      <c r="E161" s="17"/>
      <c r="F161" s="17"/>
      <c r="G161" s="16"/>
      <c r="H161" s="16"/>
      <c r="I161" s="16"/>
    </row>
    <row r="162" customFormat="false" ht="15" hidden="false" customHeight="false" outlineLevel="0" collapsed="false">
      <c r="A162" s="16"/>
      <c r="B162" s="16"/>
      <c r="C162" s="16"/>
      <c r="D162" s="16"/>
      <c r="E162" s="17"/>
      <c r="F162" s="17"/>
      <c r="G162" s="16"/>
      <c r="H162" s="16"/>
      <c r="I162" s="16"/>
    </row>
    <row r="163" customFormat="false" ht="15" hidden="false" customHeight="false" outlineLevel="0" collapsed="false">
      <c r="A163" s="16"/>
      <c r="B163" s="16"/>
      <c r="C163" s="16"/>
      <c r="D163" s="16"/>
      <c r="E163" s="17"/>
      <c r="F163" s="17"/>
      <c r="G163" s="16"/>
      <c r="H163" s="16"/>
      <c r="I163" s="16"/>
    </row>
    <row r="164" customFormat="false" ht="15" hidden="false" customHeight="false" outlineLevel="0" collapsed="false">
      <c r="A164" s="16"/>
      <c r="B164" s="16"/>
      <c r="C164" s="16"/>
      <c r="D164" s="16"/>
      <c r="E164" s="17"/>
      <c r="F164" s="17"/>
      <c r="G164" s="16"/>
      <c r="H164" s="16"/>
      <c r="I164" s="16"/>
    </row>
    <row r="165" customFormat="false" ht="15" hidden="false" customHeight="false" outlineLevel="0" collapsed="false">
      <c r="A165" s="16"/>
      <c r="B165" s="16"/>
      <c r="C165" s="16"/>
      <c r="D165" s="16"/>
      <c r="E165" s="17"/>
      <c r="F165" s="17"/>
      <c r="G165" s="16"/>
      <c r="H165" s="16"/>
      <c r="I165" s="16"/>
    </row>
    <row r="166" customFormat="false" ht="15" hidden="false" customHeight="false" outlineLevel="0" collapsed="false">
      <c r="A166" s="16"/>
      <c r="B166" s="16"/>
      <c r="C166" s="16"/>
      <c r="D166" s="16"/>
      <c r="E166" s="17"/>
      <c r="F166" s="17"/>
      <c r="G166" s="16"/>
      <c r="H166" s="16"/>
      <c r="I166" s="16"/>
    </row>
    <row r="167" customFormat="false" ht="15" hidden="false" customHeight="false" outlineLevel="0" collapsed="false">
      <c r="A167" s="16"/>
      <c r="B167" s="16"/>
      <c r="C167" s="16"/>
      <c r="D167" s="16"/>
      <c r="E167" s="17"/>
      <c r="F167" s="17"/>
      <c r="G167" s="16"/>
      <c r="H167" s="16"/>
      <c r="I167" s="16"/>
    </row>
    <row r="168" customFormat="false" ht="15" hidden="false" customHeight="false" outlineLevel="0" collapsed="false">
      <c r="A168" s="16"/>
      <c r="B168" s="16"/>
      <c r="C168" s="16"/>
      <c r="D168" s="16"/>
      <c r="E168" s="17"/>
      <c r="F168" s="17"/>
      <c r="G168" s="16"/>
      <c r="H168" s="16"/>
      <c r="I168" s="16"/>
    </row>
    <row r="169" customFormat="false" ht="15" hidden="false" customHeight="false" outlineLevel="0" collapsed="false">
      <c r="A169" s="16"/>
      <c r="B169" s="16"/>
      <c r="C169" s="16"/>
      <c r="D169" s="16"/>
      <c r="E169" s="17"/>
      <c r="F169" s="17"/>
      <c r="G169" s="16"/>
      <c r="H169" s="16"/>
      <c r="I169" s="16"/>
    </row>
    <row r="170" customFormat="false" ht="15" hidden="false" customHeight="false" outlineLevel="0" collapsed="false">
      <c r="A170" s="16"/>
      <c r="B170" s="16"/>
      <c r="C170" s="16"/>
      <c r="D170" s="16"/>
      <c r="E170" s="17"/>
      <c r="F170" s="17"/>
      <c r="G170" s="16"/>
      <c r="H170" s="16"/>
      <c r="I170" s="16"/>
    </row>
    <row r="171" customFormat="false" ht="15" hidden="false" customHeight="false" outlineLevel="0" collapsed="false">
      <c r="A171" s="16"/>
      <c r="B171" s="16"/>
      <c r="C171" s="16"/>
      <c r="D171" s="16"/>
      <c r="E171" s="17"/>
      <c r="F171" s="17"/>
      <c r="G171" s="16"/>
      <c r="H171" s="16"/>
      <c r="I171" s="16"/>
    </row>
    <row r="172" customFormat="false" ht="15" hidden="false" customHeight="false" outlineLevel="0" collapsed="false">
      <c r="A172" s="16"/>
      <c r="B172" s="16"/>
      <c r="C172" s="16"/>
      <c r="D172" s="16"/>
      <c r="E172" s="17"/>
      <c r="F172" s="17"/>
      <c r="G172" s="16"/>
      <c r="H172" s="16"/>
      <c r="I172" s="16"/>
    </row>
    <row r="173" customFormat="false" ht="15" hidden="false" customHeight="false" outlineLevel="0" collapsed="false">
      <c r="A173" s="16"/>
      <c r="B173" s="16"/>
      <c r="C173" s="16"/>
      <c r="D173" s="16"/>
      <c r="E173" s="17"/>
      <c r="F173" s="17"/>
      <c r="G173" s="16"/>
      <c r="H173" s="16"/>
      <c r="I173" s="16"/>
    </row>
    <row r="174" customFormat="false" ht="15" hidden="false" customHeight="false" outlineLevel="0" collapsed="false">
      <c r="A174" s="16"/>
      <c r="B174" s="16"/>
      <c r="C174" s="16"/>
      <c r="D174" s="16"/>
      <c r="E174" s="17"/>
      <c r="F174" s="17"/>
      <c r="G174" s="16"/>
      <c r="H174" s="16"/>
      <c r="I174" s="16"/>
    </row>
    <row r="175" customFormat="false" ht="15" hidden="false" customHeight="false" outlineLevel="0" collapsed="false">
      <c r="A175" s="16"/>
      <c r="B175" s="16"/>
      <c r="C175" s="16"/>
      <c r="D175" s="16"/>
      <c r="E175" s="17"/>
      <c r="F175" s="17"/>
      <c r="G175" s="16"/>
      <c r="H175" s="16"/>
      <c r="I175" s="16"/>
    </row>
    <row r="176" customFormat="false" ht="15" hidden="false" customHeight="false" outlineLevel="0" collapsed="false">
      <c r="A176" s="16"/>
      <c r="B176" s="16"/>
      <c r="C176" s="16"/>
      <c r="D176" s="16"/>
      <c r="E176" s="17"/>
      <c r="F176" s="17"/>
      <c r="G176" s="16"/>
      <c r="H176" s="16"/>
      <c r="I176" s="16"/>
    </row>
    <row r="177" customFormat="false" ht="15" hidden="false" customHeight="false" outlineLevel="0" collapsed="false">
      <c r="A177" s="16"/>
      <c r="B177" s="16"/>
      <c r="C177" s="16"/>
      <c r="D177" s="16"/>
      <c r="E177" s="17"/>
      <c r="F177" s="17"/>
      <c r="G177" s="16"/>
      <c r="H177" s="16"/>
      <c r="I177" s="16"/>
    </row>
    <row r="178" customFormat="false" ht="15" hidden="false" customHeight="false" outlineLevel="0" collapsed="false">
      <c r="A178" s="16"/>
      <c r="B178" s="16"/>
      <c r="C178" s="16"/>
      <c r="D178" s="16"/>
      <c r="E178" s="17"/>
      <c r="F178" s="17"/>
      <c r="G178" s="16"/>
      <c r="H178" s="16"/>
      <c r="I178" s="16"/>
    </row>
    <row r="179" customFormat="false" ht="15" hidden="false" customHeight="false" outlineLevel="0" collapsed="false">
      <c r="A179" s="16"/>
      <c r="B179" s="16"/>
      <c r="C179" s="16"/>
      <c r="D179" s="16"/>
      <c r="E179" s="17"/>
      <c r="F179" s="17"/>
      <c r="G179" s="16"/>
      <c r="H179" s="16"/>
      <c r="I179" s="16"/>
    </row>
    <row r="180" customFormat="false" ht="15" hidden="false" customHeight="false" outlineLevel="0" collapsed="false">
      <c r="A180" s="16"/>
      <c r="B180" s="16"/>
      <c r="C180" s="16"/>
      <c r="D180" s="16"/>
      <c r="E180" s="17"/>
      <c r="F180" s="17"/>
      <c r="G180" s="16"/>
      <c r="H180" s="16"/>
      <c r="I180" s="16"/>
    </row>
    <row r="181" customFormat="false" ht="15" hidden="false" customHeight="false" outlineLevel="0" collapsed="false">
      <c r="A181" s="16"/>
      <c r="B181" s="16"/>
      <c r="C181" s="16"/>
      <c r="D181" s="16"/>
      <c r="E181" s="17"/>
      <c r="F181" s="17"/>
      <c r="G181" s="16"/>
      <c r="H181" s="16"/>
      <c r="I181" s="16"/>
    </row>
    <row r="182" customFormat="false" ht="15" hidden="false" customHeight="false" outlineLevel="0" collapsed="false">
      <c r="A182" s="16"/>
      <c r="B182" s="16"/>
      <c r="C182" s="16"/>
      <c r="D182" s="16"/>
      <c r="E182" s="17"/>
      <c r="F182" s="17"/>
      <c r="G182" s="16"/>
      <c r="H182" s="16"/>
      <c r="I182" s="16"/>
    </row>
    <row r="183" customFormat="false" ht="15" hidden="false" customHeight="false" outlineLevel="0" collapsed="false">
      <c r="A183" s="16"/>
      <c r="B183" s="16"/>
      <c r="C183" s="16"/>
      <c r="D183" s="16"/>
      <c r="E183" s="17"/>
      <c r="F183" s="17"/>
      <c r="G183" s="16"/>
      <c r="H183" s="16"/>
      <c r="I183" s="16"/>
    </row>
    <row r="184" customFormat="false" ht="15" hidden="false" customHeight="false" outlineLevel="0" collapsed="false">
      <c r="A184" s="16"/>
      <c r="B184" s="16"/>
      <c r="C184" s="16"/>
      <c r="D184" s="16"/>
      <c r="E184" s="17"/>
      <c r="F184" s="17"/>
      <c r="G184" s="16"/>
      <c r="H184" s="16"/>
      <c r="I184" s="16"/>
    </row>
    <row r="185" customFormat="false" ht="15" hidden="false" customHeight="false" outlineLevel="0" collapsed="false">
      <c r="A185" s="16"/>
      <c r="B185" s="16"/>
      <c r="C185" s="16"/>
      <c r="D185" s="16"/>
      <c r="E185" s="17"/>
      <c r="F185" s="17"/>
      <c r="G185" s="16"/>
      <c r="H185" s="16"/>
      <c r="I185" s="16"/>
    </row>
    <row r="186" customFormat="false" ht="15" hidden="false" customHeight="false" outlineLevel="0" collapsed="false">
      <c r="A186" s="16"/>
      <c r="B186" s="16"/>
      <c r="C186" s="16"/>
      <c r="D186" s="16"/>
      <c r="E186" s="17"/>
      <c r="F186" s="17"/>
      <c r="G186" s="16"/>
      <c r="H186" s="16"/>
      <c r="I186" s="16"/>
    </row>
    <row r="187" customFormat="false" ht="15" hidden="false" customHeight="false" outlineLevel="0" collapsed="false">
      <c r="A187" s="16"/>
      <c r="B187" s="16"/>
      <c r="C187" s="16"/>
      <c r="D187" s="16"/>
      <c r="E187" s="17"/>
      <c r="F187" s="17"/>
      <c r="G187" s="16"/>
      <c r="H187" s="16"/>
      <c r="I187" s="16"/>
    </row>
    <row r="188" customFormat="false" ht="15" hidden="false" customHeight="false" outlineLevel="0" collapsed="false">
      <c r="A188" s="16"/>
      <c r="B188" s="16"/>
      <c r="C188" s="16"/>
      <c r="D188" s="16"/>
      <c r="E188" s="17"/>
      <c r="F188" s="17"/>
      <c r="G188" s="16"/>
      <c r="H188" s="16"/>
      <c r="I188" s="16"/>
    </row>
    <row r="189" customFormat="false" ht="15" hidden="false" customHeight="false" outlineLevel="0" collapsed="false">
      <c r="A189" s="16"/>
      <c r="B189" s="16"/>
      <c r="C189" s="16"/>
      <c r="D189" s="16"/>
      <c r="E189" s="17"/>
      <c r="F189" s="17"/>
      <c r="G189" s="16"/>
      <c r="H189" s="16"/>
      <c r="I189" s="16"/>
    </row>
    <row r="190" customFormat="false" ht="15" hidden="false" customHeight="false" outlineLevel="0" collapsed="false">
      <c r="A190" s="16"/>
      <c r="B190" s="16"/>
      <c r="C190" s="16"/>
      <c r="D190" s="16"/>
      <c r="E190" s="17"/>
      <c r="F190" s="17"/>
      <c r="G190" s="16"/>
      <c r="H190" s="16"/>
      <c r="I190" s="16"/>
    </row>
    <row r="191" customFormat="false" ht="15" hidden="false" customHeight="false" outlineLevel="0" collapsed="false">
      <c r="A191" s="16"/>
      <c r="B191" s="16"/>
      <c r="C191" s="16"/>
      <c r="D191" s="16"/>
      <c r="E191" s="17"/>
      <c r="F191" s="17"/>
      <c r="G191" s="16"/>
      <c r="H191" s="16"/>
      <c r="I191" s="16"/>
    </row>
    <row r="192" customFormat="false" ht="15" hidden="false" customHeight="false" outlineLevel="0" collapsed="false">
      <c r="A192" s="16"/>
      <c r="B192" s="16"/>
      <c r="C192" s="16"/>
      <c r="D192" s="16"/>
      <c r="E192" s="17"/>
      <c r="F192" s="17"/>
      <c r="G192" s="16"/>
      <c r="H192" s="16"/>
      <c r="I192" s="16"/>
    </row>
    <row r="193" customFormat="false" ht="15" hidden="false" customHeight="false" outlineLevel="0" collapsed="false">
      <c r="A193" s="16"/>
      <c r="B193" s="16"/>
      <c r="C193" s="16"/>
      <c r="D193" s="16"/>
      <c r="E193" s="17"/>
      <c r="F193" s="17"/>
      <c r="G193" s="16"/>
      <c r="H193" s="16"/>
      <c r="I193" s="16"/>
    </row>
    <row r="194" customFormat="false" ht="15" hidden="false" customHeight="false" outlineLevel="0" collapsed="false">
      <c r="A194" s="16"/>
      <c r="B194" s="16"/>
      <c r="C194" s="16"/>
      <c r="D194" s="16"/>
      <c r="E194" s="17"/>
      <c r="F194" s="17"/>
      <c r="G194" s="16"/>
      <c r="H194" s="16"/>
      <c r="I194" s="16"/>
    </row>
    <row r="195" customFormat="false" ht="15" hidden="false" customHeight="false" outlineLevel="0" collapsed="false">
      <c r="A195" s="16"/>
      <c r="B195" s="16"/>
      <c r="C195" s="16"/>
      <c r="D195" s="16"/>
      <c r="E195" s="17"/>
      <c r="F195" s="17"/>
      <c r="G195" s="16"/>
      <c r="H195" s="16"/>
      <c r="I195" s="16"/>
    </row>
    <row r="196" customFormat="false" ht="15" hidden="false" customHeight="false" outlineLevel="0" collapsed="false">
      <c r="A196" s="16"/>
      <c r="B196" s="16"/>
      <c r="C196" s="16"/>
      <c r="D196" s="16"/>
      <c r="E196" s="17"/>
      <c r="F196" s="17"/>
      <c r="G196" s="16"/>
      <c r="H196" s="16"/>
      <c r="I196" s="16"/>
    </row>
    <row r="197" customFormat="false" ht="15" hidden="false" customHeight="false" outlineLevel="0" collapsed="false">
      <c r="A197" s="16"/>
      <c r="B197" s="16"/>
      <c r="C197" s="16"/>
      <c r="D197" s="16"/>
      <c r="E197" s="17"/>
      <c r="F197" s="17"/>
      <c r="G197" s="16"/>
      <c r="H197" s="16"/>
      <c r="I197" s="16"/>
    </row>
    <row r="198" customFormat="false" ht="15" hidden="false" customHeight="false" outlineLevel="0" collapsed="false">
      <c r="A198" s="16"/>
      <c r="B198" s="16"/>
      <c r="C198" s="16"/>
      <c r="D198" s="16"/>
      <c r="E198" s="17"/>
      <c r="F198" s="17"/>
      <c r="G198" s="16"/>
      <c r="H198" s="16"/>
      <c r="I198" s="16"/>
    </row>
    <row r="199" customFormat="false" ht="15" hidden="false" customHeight="false" outlineLevel="0" collapsed="false">
      <c r="A199" s="16"/>
      <c r="B199" s="16"/>
      <c r="C199" s="16"/>
      <c r="D199" s="16"/>
      <c r="E199" s="17"/>
      <c r="F199" s="17"/>
      <c r="G199" s="16"/>
      <c r="H199" s="16"/>
      <c r="I199" s="16"/>
    </row>
    <row r="200" customFormat="false" ht="15" hidden="false" customHeight="false" outlineLevel="0" collapsed="false">
      <c r="A200" s="16"/>
      <c r="B200" s="16"/>
      <c r="C200" s="16"/>
      <c r="D200" s="16"/>
      <c r="E200" s="17"/>
      <c r="F200" s="17"/>
      <c r="G200" s="16"/>
      <c r="H200" s="16"/>
      <c r="I200" s="16"/>
    </row>
    <row r="201" customFormat="false" ht="15" hidden="false" customHeight="false" outlineLevel="0" collapsed="false">
      <c r="A201" s="16"/>
      <c r="B201" s="16"/>
      <c r="C201" s="16"/>
      <c r="D201" s="16"/>
      <c r="E201" s="17"/>
      <c r="F201" s="17"/>
      <c r="G201" s="16"/>
      <c r="H201" s="16"/>
      <c r="I201" s="16"/>
    </row>
    <row r="202" customFormat="false" ht="15" hidden="false" customHeight="false" outlineLevel="0" collapsed="false">
      <c r="A202" s="16"/>
      <c r="B202" s="16"/>
      <c r="C202" s="16"/>
      <c r="D202" s="16"/>
      <c r="E202" s="17"/>
      <c r="F202" s="17"/>
      <c r="G202" s="16"/>
      <c r="H202" s="16"/>
      <c r="I202" s="16"/>
    </row>
    <row r="203" customFormat="false" ht="15" hidden="false" customHeight="false" outlineLevel="0" collapsed="false">
      <c r="A203" s="16"/>
      <c r="B203" s="16"/>
      <c r="C203" s="16"/>
      <c r="D203" s="16"/>
      <c r="E203" s="17"/>
      <c r="F203" s="17"/>
      <c r="G203" s="16"/>
      <c r="H203" s="16"/>
      <c r="I203" s="16"/>
    </row>
    <row r="204" customFormat="false" ht="15" hidden="false" customHeight="false" outlineLevel="0" collapsed="false">
      <c r="A204" s="16"/>
      <c r="B204" s="16"/>
      <c r="C204" s="16"/>
      <c r="D204" s="16"/>
      <c r="E204" s="17"/>
      <c r="F204" s="17"/>
      <c r="G204" s="16"/>
      <c r="H204" s="16"/>
      <c r="I204" s="16"/>
    </row>
    <row r="205" customFormat="false" ht="15" hidden="false" customHeight="false" outlineLevel="0" collapsed="false">
      <c r="A205" s="16"/>
      <c r="B205" s="16"/>
      <c r="C205" s="16"/>
      <c r="D205" s="16"/>
      <c r="E205" s="17"/>
      <c r="F205" s="17"/>
      <c r="G205" s="16"/>
      <c r="H205" s="16"/>
      <c r="I205" s="16"/>
    </row>
    <row r="206" customFormat="false" ht="15" hidden="false" customHeight="false" outlineLevel="0" collapsed="false">
      <c r="A206" s="16"/>
      <c r="B206" s="16"/>
      <c r="C206" s="16"/>
      <c r="D206" s="16"/>
      <c r="E206" s="17"/>
      <c r="F206" s="17"/>
      <c r="G206" s="16"/>
      <c r="H206" s="16"/>
      <c r="I206" s="16"/>
    </row>
    <row r="207" customFormat="false" ht="15" hidden="false" customHeight="false" outlineLevel="0" collapsed="false">
      <c r="A207" s="16"/>
      <c r="B207" s="16"/>
      <c r="C207" s="16"/>
      <c r="D207" s="16"/>
      <c r="E207" s="17"/>
      <c r="F207" s="17"/>
      <c r="G207" s="16"/>
      <c r="H207" s="16"/>
      <c r="I207" s="16"/>
    </row>
    <row r="208" customFormat="false" ht="15" hidden="false" customHeight="false" outlineLevel="0" collapsed="false">
      <c r="A208" s="16"/>
      <c r="B208" s="16"/>
      <c r="C208" s="16"/>
      <c r="D208" s="16"/>
      <c r="E208" s="17"/>
      <c r="F208" s="17"/>
      <c r="G208" s="16"/>
      <c r="H208" s="16"/>
      <c r="I208" s="16"/>
    </row>
    <row r="209" customFormat="false" ht="15" hidden="false" customHeight="false" outlineLevel="0" collapsed="false">
      <c r="A209" s="16"/>
      <c r="B209" s="16"/>
      <c r="C209" s="16"/>
      <c r="D209" s="16"/>
      <c r="E209" s="17"/>
      <c r="F209" s="17"/>
      <c r="G209" s="16"/>
      <c r="H209" s="16"/>
      <c r="I209" s="16"/>
    </row>
    <row r="210" customFormat="false" ht="15" hidden="false" customHeight="false" outlineLevel="0" collapsed="false">
      <c r="A210" s="16"/>
      <c r="B210" s="16"/>
      <c r="C210" s="16"/>
      <c r="D210" s="16"/>
      <c r="E210" s="17"/>
      <c r="F210" s="17"/>
      <c r="G210" s="16"/>
      <c r="H210" s="16"/>
      <c r="I210" s="16"/>
    </row>
    <row r="211" customFormat="false" ht="15" hidden="false" customHeight="false" outlineLevel="0" collapsed="false">
      <c r="A211" s="16"/>
      <c r="B211" s="16"/>
      <c r="C211" s="16"/>
      <c r="D211" s="16"/>
      <c r="E211" s="17"/>
      <c r="F211" s="17"/>
      <c r="G211" s="16"/>
      <c r="H211" s="16"/>
      <c r="I211" s="16"/>
    </row>
    <row r="212" customFormat="false" ht="15" hidden="false" customHeight="false" outlineLevel="0" collapsed="false">
      <c r="A212" s="16"/>
      <c r="B212" s="16"/>
      <c r="C212" s="16"/>
      <c r="D212" s="16"/>
      <c r="E212" s="17"/>
      <c r="F212" s="17"/>
      <c r="G212" s="16"/>
      <c r="H212" s="16"/>
      <c r="I212" s="16"/>
    </row>
    <row r="213" customFormat="false" ht="15" hidden="false" customHeight="false" outlineLevel="0" collapsed="false">
      <c r="A213" s="16"/>
      <c r="B213" s="16"/>
      <c r="C213" s="16"/>
      <c r="D213" s="16"/>
      <c r="E213" s="17"/>
      <c r="F213" s="17"/>
      <c r="G213" s="16"/>
      <c r="H213" s="16"/>
      <c r="I213" s="16"/>
    </row>
    <row r="214" customFormat="false" ht="15" hidden="false" customHeight="false" outlineLevel="0" collapsed="false">
      <c r="A214" s="16"/>
      <c r="B214" s="16"/>
      <c r="C214" s="16"/>
      <c r="D214" s="16"/>
      <c r="E214" s="17"/>
      <c r="F214" s="17"/>
      <c r="G214" s="16"/>
      <c r="H214" s="16"/>
      <c r="I214" s="16"/>
    </row>
    <row r="215" customFormat="false" ht="15" hidden="false" customHeight="false" outlineLevel="0" collapsed="false">
      <c r="A215" s="16"/>
      <c r="B215" s="16"/>
      <c r="C215" s="16"/>
      <c r="D215" s="16"/>
      <c r="E215" s="17"/>
      <c r="F215" s="17"/>
      <c r="G215" s="16"/>
      <c r="H215" s="16"/>
      <c r="I215" s="16"/>
    </row>
    <row r="216" customFormat="false" ht="15" hidden="false" customHeight="false" outlineLevel="0" collapsed="false">
      <c r="A216" s="16"/>
      <c r="B216" s="16"/>
      <c r="C216" s="16"/>
      <c r="D216" s="16"/>
      <c r="E216" s="17"/>
      <c r="F216" s="17"/>
      <c r="G216" s="16"/>
      <c r="H216" s="16"/>
      <c r="I216" s="16"/>
    </row>
    <row r="217" customFormat="false" ht="15" hidden="false" customHeight="false" outlineLevel="0" collapsed="false">
      <c r="A217" s="16"/>
      <c r="B217" s="16"/>
      <c r="C217" s="16"/>
      <c r="D217" s="16"/>
      <c r="E217" s="17"/>
      <c r="F217" s="17"/>
      <c r="G217" s="16"/>
      <c r="H217" s="16"/>
      <c r="I217" s="16"/>
    </row>
    <row r="218" customFormat="false" ht="15" hidden="false" customHeight="false" outlineLevel="0" collapsed="false">
      <c r="A218" s="16"/>
      <c r="B218" s="16"/>
      <c r="C218" s="16"/>
      <c r="D218" s="16"/>
      <c r="E218" s="17"/>
      <c r="F218" s="17"/>
      <c r="G218" s="16"/>
      <c r="H218" s="16"/>
      <c r="I218" s="16"/>
    </row>
    <row r="219" customFormat="false" ht="15" hidden="false" customHeight="false" outlineLevel="0" collapsed="false">
      <c r="A219" s="16"/>
      <c r="B219" s="16"/>
      <c r="C219" s="16"/>
      <c r="D219" s="16"/>
      <c r="E219" s="17"/>
      <c r="F219" s="17"/>
      <c r="G219" s="16"/>
      <c r="H219" s="16"/>
      <c r="I219" s="16"/>
    </row>
    <row r="220" customFormat="false" ht="15" hidden="false" customHeight="false" outlineLevel="0" collapsed="false">
      <c r="A220" s="16"/>
      <c r="B220" s="16"/>
      <c r="C220" s="16"/>
      <c r="D220" s="16"/>
      <c r="E220" s="17"/>
      <c r="F220" s="17"/>
      <c r="G220" s="16"/>
      <c r="H220" s="16"/>
      <c r="I220" s="16"/>
    </row>
    <row r="221" customFormat="false" ht="15" hidden="false" customHeight="false" outlineLevel="0" collapsed="false">
      <c r="A221" s="16"/>
      <c r="B221" s="16"/>
      <c r="C221" s="16"/>
      <c r="D221" s="16"/>
      <c r="E221" s="17"/>
      <c r="F221" s="17"/>
      <c r="G221" s="16"/>
      <c r="H221" s="16"/>
      <c r="I221" s="16"/>
    </row>
    <row r="222" customFormat="false" ht="15" hidden="false" customHeight="false" outlineLevel="0" collapsed="false">
      <c r="A222" s="16"/>
      <c r="B222" s="16"/>
      <c r="C222" s="16"/>
      <c r="D222" s="16"/>
      <c r="E222" s="17"/>
      <c r="F222" s="17"/>
      <c r="G222" s="16"/>
      <c r="H222" s="16"/>
      <c r="I222" s="16"/>
    </row>
    <row r="223" customFormat="false" ht="15" hidden="false" customHeight="false" outlineLevel="0" collapsed="false">
      <c r="A223" s="16"/>
      <c r="B223" s="16"/>
      <c r="C223" s="16"/>
      <c r="D223" s="16"/>
      <c r="E223" s="17"/>
      <c r="F223" s="17"/>
      <c r="G223" s="16"/>
      <c r="H223" s="16"/>
      <c r="I223" s="16"/>
    </row>
    <row r="224" customFormat="false" ht="15" hidden="false" customHeight="false" outlineLevel="0" collapsed="false">
      <c r="A224" s="16"/>
      <c r="B224" s="16"/>
      <c r="C224" s="16"/>
      <c r="D224" s="16"/>
      <c r="E224" s="17"/>
      <c r="F224" s="17"/>
      <c r="G224" s="16"/>
      <c r="H224" s="16"/>
      <c r="I224" s="16"/>
    </row>
    <row r="225" customFormat="false" ht="15" hidden="false" customHeight="false" outlineLevel="0" collapsed="false">
      <c r="A225" s="16"/>
      <c r="B225" s="16"/>
      <c r="C225" s="16"/>
      <c r="D225" s="16"/>
      <c r="E225" s="17"/>
      <c r="F225" s="17"/>
      <c r="G225" s="16"/>
      <c r="H225" s="16"/>
      <c r="I225" s="16"/>
    </row>
    <row r="226" customFormat="false" ht="15" hidden="false" customHeight="false" outlineLevel="0" collapsed="false">
      <c r="A226" s="16"/>
      <c r="B226" s="16"/>
      <c r="C226" s="16"/>
      <c r="D226" s="16"/>
      <c r="E226" s="17"/>
      <c r="F226" s="17"/>
      <c r="G226" s="16"/>
      <c r="H226" s="16"/>
      <c r="I226" s="16"/>
    </row>
    <row r="227" customFormat="false" ht="15" hidden="false" customHeight="false" outlineLevel="0" collapsed="false">
      <c r="A227" s="16"/>
      <c r="B227" s="16"/>
      <c r="C227" s="16"/>
      <c r="D227" s="16"/>
      <c r="E227" s="17"/>
      <c r="F227" s="17"/>
      <c r="G227" s="16"/>
      <c r="H227" s="16"/>
      <c r="I227" s="16"/>
    </row>
    <row r="228" customFormat="false" ht="15" hidden="false" customHeight="false" outlineLevel="0" collapsed="false">
      <c r="A228" s="16"/>
      <c r="B228" s="16"/>
      <c r="C228" s="16"/>
      <c r="D228" s="16"/>
      <c r="E228" s="17"/>
      <c r="F228" s="17"/>
      <c r="G228" s="16"/>
      <c r="H228" s="16"/>
      <c r="I228" s="16"/>
    </row>
    <row r="229" customFormat="false" ht="15" hidden="false" customHeight="false" outlineLevel="0" collapsed="false">
      <c r="A229" s="16"/>
      <c r="B229" s="16"/>
      <c r="C229" s="16"/>
      <c r="D229" s="16"/>
      <c r="E229" s="17"/>
      <c r="F229" s="17"/>
      <c r="G229" s="16"/>
      <c r="H229" s="16"/>
      <c r="I229" s="16"/>
    </row>
    <row r="230" customFormat="false" ht="15" hidden="false" customHeight="false" outlineLevel="0" collapsed="false">
      <c r="A230" s="16"/>
      <c r="B230" s="16"/>
      <c r="C230" s="16"/>
      <c r="D230" s="16"/>
      <c r="E230" s="17"/>
      <c r="F230" s="17"/>
      <c r="G230" s="16"/>
      <c r="H230" s="16"/>
      <c r="I230" s="16"/>
    </row>
    <row r="231" customFormat="false" ht="15" hidden="false" customHeight="false" outlineLevel="0" collapsed="false">
      <c r="A231" s="16"/>
      <c r="B231" s="16"/>
      <c r="C231" s="16"/>
      <c r="D231" s="16"/>
      <c r="E231" s="17"/>
      <c r="F231" s="17"/>
      <c r="G231" s="16"/>
      <c r="H231" s="16"/>
      <c r="I231" s="16"/>
    </row>
    <row r="232" customFormat="false" ht="15" hidden="false" customHeight="false" outlineLevel="0" collapsed="false">
      <c r="A232" s="16"/>
      <c r="B232" s="16"/>
      <c r="C232" s="16"/>
      <c r="D232" s="16"/>
      <c r="E232" s="17"/>
      <c r="F232" s="17"/>
      <c r="G232" s="16"/>
      <c r="H232" s="16"/>
      <c r="I232" s="16"/>
    </row>
    <row r="233" customFormat="false" ht="15" hidden="false" customHeight="false" outlineLevel="0" collapsed="false">
      <c r="A233" s="16"/>
      <c r="B233" s="16"/>
      <c r="C233" s="16"/>
      <c r="D233" s="16"/>
      <c r="E233" s="17"/>
      <c r="F233" s="17"/>
      <c r="G233" s="16"/>
      <c r="H233" s="16"/>
      <c r="I233" s="16"/>
    </row>
    <row r="234" customFormat="false" ht="15" hidden="false" customHeight="false" outlineLevel="0" collapsed="false">
      <c r="A234" s="16"/>
      <c r="B234" s="16"/>
      <c r="C234" s="16"/>
      <c r="D234" s="16"/>
      <c r="E234" s="17"/>
      <c r="F234" s="17"/>
      <c r="G234" s="16"/>
      <c r="H234" s="16"/>
      <c r="I234" s="16"/>
    </row>
    <row r="235" customFormat="false" ht="15" hidden="false" customHeight="false" outlineLevel="0" collapsed="false">
      <c r="A235" s="16"/>
      <c r="B235" s="16"/>
      <c r="C235" s="16"/>
      <c r="D235" s="16"/>
      <c r="E235" s="17"/>
      <c r="F235" s="17"/>
      <c r="G235" s="16"/>
      <c r="H235" s="16"/>
      <c r="I235" s="16"/>
    </row>
    <row r="236" customFormat="false" ht="15" hidden="false" customHeight="false" outlineLevel="0" collapsed="false">
      <c r="A236" s="16"/>
      <c r="B236" s="16"/>
      <c r="C236" s="16"/>
      <c r="D236" s="16"/>
      <c r="E236" s="17"/>
      <c r="F236" s="17"/>
      <c r="G236" s="16"/>
      <c r="H236" s="16"/>
      <c r="I236" s="16"/>
    </row>
    <row r="237" customFormat="false" ht="15" hidden="false" customHeight="false" outlineLevel="0" collapsed="false">
      <c r="A237" s="16"/>
      <c r="B237" s="16"/>
      <c r="C237" s="16"/>
      <c r="D237" s="16"/>
      <c r="E237" s="17"/>
      <c r="F237" s="17"/>
      <c r="G237" s="16"/>
      <c r="H237" s="16"/>
      <c r="I237" s="16"/>
    </row>
    <row r="238" customFormat="false" ht="15" hidden="false" customHeight="false" outlineLevel="0" collapsed="false">
      <c r="A238" s="16"/>
      <c r="B238" s="16"/>
      <c r="C238" s="16"/>
      <c r="D238" s="16"/>
      <c r="E238" s="17"/>
      <c r="F238" s="17"/>
      <c r="G238" s="16"/>
      <c r="H238" s="16"/>
      <c r="I238" s="16"/>
    </row>
    <row r="239" customFormat="false" ht="15" hidden="false" customHeight="false" outlineLevel="0" collapsed="false">
      <c r="A239" s="16"/>
      <c r="B239" s="16"/>
      <c r="C239" s="16"/>
      <c r="D239" s="16"/>
      <c r="E239" s="17"/>
      <c r="F239" s="17"/>
      <c r="G239" s="16"/>
      <c r="H239" s="16"/>
      <c r="I239" s="16"/>
    </row>
    <row r="240" customFormat="false" ht="15" hidden="false" customHeight="false" outlineLevel="0" collapsed="false">
      <c r="A240" s="16"/>
      <c r="B240" s="16"/>
      <c r="C240" s="16"/>
      <c r="D240" s="16"/>
      <c r="E240" s="17"/>
      <c r="F240" s="17"/>
      <c r="G240" s="16"/>
      <c r="H240" s="16"/>
      <c r="I240" s="16"/>
    </row>
    <row r="241" customFormat="false" ht="15" hidden="false" customHeight="false" outlineLevel="0" collapsed="false">
      <c r="A241" s="16"/>
      <c r="B241" s="16"/>
      <c r="C241" s="16"/>
      <c r="D241" s="16"/>
      <c r="E241" s="17"/>
      <c r="F241" s="17"/>
      <c r="G241" s="16"/>
      <c r="H241" s="16"/>
      <c r="I241" s="16"/>
    </row>
    <row r="242" customFormat="false" ht="15" hidden="false" customHeight="false" outlineLevel="0" collapsed="false">
      <c r="A242" s="16"/>
      <c r="B242" s="16"/>
      <c r="C242" s="16"/>
      <c r="D242" s="16"/>
      <c r="E242" s="17"/>
      <c r="F242" s="17"/>
      <c r="G242" s="16"/>
      <c r="H242" s="16"/>
      <c r="I242" s="16"/>
    </row>
    <row r="243" customFormat="false" ht="15" hidden="false" customHeight="false" outlineLevel="0" collapsed="false">
      <c r="A243" s="16"/>
      <c r="B243" s="16"/>
      <c r="C243" s="16"/>
      <c r="D243" s="16"/>
      <c r="E243" s="17"/>
      <c r="F243" s="17"/>
      <c r="G243" s="16"/>
      <c r="H243" s="16"/>
      <c r="I243" s="16"/>
    </row>
    <row r="244" customFormat="false" ht="15" hidden="false" customHeight="false" outlineLevel="0" collapsed="false">
      <c r="A244" s="16"/>
      <c r="B244" s="16"/>
      <c r="C244" s="16"/>
      <c r="D244" s="16"/>
      <c r="E244" s="17"/>
      <c r="F244" s="17"/>
      <c r="G244" s="16"/>
      <c r="H244" s="16"/>
      <c r="I244" s="16"/>
    </row>
    <row r="245" customFormat="false" ht="15" hidden="false" customHeight="false" outlineLevel="0" collapsed="false">
      <c r="A245" s="16"/>
      <c r="B245" s="16"/>
      <c r="C245" s="16"/>
      <c r="D245" s="16"/>
      <c r="E245" s="17"/>
      <c r="F245" s="17"/>
      <c r="G245" s="16"/>
      <c r="H245" s="16"/>
      <c r="I245" s="16"/>
    </row>
    <row r="246" customFormat="false" ht="15" hidden="false" customHeight="false" outlineLevel="0" collapsed="false">
      <c r="A246" s="16"/>
      <c r="B246" s="16"/>
      <c r="C246" s="16"/>
      <c r="D246" s="16"/>
      <c r="E246" s="17"/>
      <c r="F246" s="17"/>
      <c r="G246" s="16"/>
      <c r="H246" s="16"/>
      <c r="I246" s="16"/>
    </row>
    <row r="247" customFormat="false" ht="15" hidden="false" customHeight="false" outlineLevel="0" collapsed="false">
      <c r="A247" s="16"/>
      <c r="B247" s="16"/>
      <c r="C247" s="16"/>
      <c r="D247" s="16"/>
      <c r="E247" s="17"/>
      <c r="F247" s="17"/>
      <c r="G247" s="16"/>
      <c r="H247" s="16"/>
      <c r="I247" s="16"/>
    </row>
    <row r="248" customFormat="false" ht="15" hidden="false" customHeight="false" outlineLevel="0" collapsed="false">
      <c r="A248" s="16"/>
      <c r="B248" s="16"/>
      <c r="C248" s="16"/>
      <c r="D248" s="16"/>
      <c r="E248" s="17"/>
      <c r="F248" s="17"/>
      <c r="G248" s="16"/>
      <c r="H248" s="16"/>
      <c r="I248" s="16"/>
    </row>
    <row r="249" customFormat="false" ht="15" hidden="false" customHeight="false" outlineLevel="0" collapsed="false">
      <c r="A249" s="16"/>
      <c r="B249" s="16"/>
      <c r="C249" s="16"/>
      <c r="D249" s="16"/>
      <c r="E249" s="17"/>
      <c r="F249" s="17"/>
      <c r="G249" s="16"/>
      <c r="H249" s="16"/>
      <c r="I249" s="16"/>
    </row>
    <row r="250" customFormat="false" ht="15" hidden="false" customHeight="false" outlineLevel="0" collapsed="false">
      <c r="A250" s="16"/>
      <c r="B250" s="16"/>
      <c r="C250" s="16"/>
      <c r="D250" s="16"/>
      <c r="E250" s="17"/>
      <c r="F250" s="17"/>
      <c r="G250" s="16"/>
      <c r="H250" s="16"/>
      <c r="I250" s="16"/>
    </row>
    <row r="251" customFormat="false" ht="15" hidden="false" customHeight="false" outlineLevel="0" collapsed="false">
      <c r="A251" s="16"/>
      <c r="B251" s="16"/>
      <c r="C251" s="16"/>
      <c r="D251" s="16"/>
      <c r="E251" s="17"/>
      <c r="F251" s="17"/>
      <c r="G251" s="16"/>
      <c r="H251" s="16"/>
      <c r="I251" s="16"/>
    </row>
    <row r="252" customFormat="false" ht="15" hidden="false" customHeight="false" outlineLevel="0" collapsed="false">
      <c r="A252" s="16"/>
      <c r="B252" s="16"/>
      <c r="C252" s="16"/>
      <c r="D252" s="16"/>
      <c r="E252" s="17"/>
      <c r="F252" s="17"/>
      <c r="G252" s="16"/>
      <c r="H252" s="16"/>
      <c r="I252" s="16"/>
    </row>
    <row r="253" customFormat="false" ht="15" hidden="false" customHeight="false" outlineLevel="0" collapsed="false">
      <c r="A253" s="16"/>
      <c r="B253" s="16"/>
      <c r="C253" s="16"/>
      <c r="D253" s="16"/>
      <c r="E253" s="17"/>
      <c r="F253" s="17"/>
      <c r="G253" s="16"/>
      <c r="H253" s="16"/>
      <c r="I253" s="16"/>
    </row>
    <row r="254" customFormat="false" ht="15" hidden="false" customHeight="false" outlineLevel="0" collapsed="false">
      <c r="A254" s="16"/>
      <c r="B254" s="16"/>
      <c r="C254" s="16"/>
      <c r="D254" s="16"/>
      <c r="E254" s="17"/>
      <c r="F254" s="17"/>
      <c r="G254" s="16"/>
      <c r="H254" s="16"/>
      <c r="I254" s="16"/>
    </row>
    <row r="255" customFormat="false" ht="15" hidden="false" customHeight="false" outlineLevel="0" collapsed="false">
      <c r="A255" s="16"/>
      <c r="B255" s="16"/>
      <c r="C255" s="16"/>
      <c r="D255" s="16"/>
      <c r="E255" s="17"/>
      <c r="F255" s="17"/>
      <c r="G255" s="16"/>
      <c r="H255" s="16"/>
      <c r="I255" s="16"/>
    </row>
    <row r="256" customFormat="false" ht="15" hidden="false" customHeight="false" outlineLevel="0" collapsed="false">
      <c r="A256" s="16"/>
      <c r="B256" s="16"/>
      <c r="C256" s="16"/>
      <c r="D256" s="16"/>
      <c r="E256" s="17"/>
      <c r="F256" s="17"/>
      <c r="G256" s="16"/>
      <c r="H256" s="16"/>
      <c r="I256" s="16"/>
    </row>
    <row r="257" customFormat="false" ht="15" hidden="false" customHeight="false" outlineLevel="0" collapsed="false">
      <c r="A257" s="16"/>
      <c r="B257" s="16"/>
      <c r="C257" s="16"/>
      <c r="D257" s="16"/>
      <c r="E257" s="17"/>
      <c r="F257" s="17"/>
      <c r="G257" s="16"/>
      <c r="H257" s="16"/>
      <c r="I257" s="16"/>
    </row>
    <row r="258" customFormat="false" ht="15" hidden="false" customHeight="false" outlineLevel="0" collapsed="false">
      <c r="A258" s="16"/>
      <c r="B258" s="16"/>
      <c r="C258" s="16"/>
      <c r="D258" s="16"/>
      <c r="E258" s="17"/>
      <c r="F258" s="17"/>
      <c r="G258" s="16"/>
      <c r="H258" s="16"/>
      <c r="I258" s="16"/>
    </row>
    <row r="259" customFormat="false" ht="15" hidden="false" customHeight="false" outlineLevel="0" collapsed="false">
      <c r="A259" s="16"/>
      <c r="B259" s="16"/>
      <c r="C259" s="16"/>
      <c r="D259" s="16"/>
      <c r="E259" s="17"/>
      <c r="F259" s="17"/>
      <c r="G259" s="16"/>
      <c r="H259" s="16"/>
      <c r="I259" s="16"/>
    </row>
    <row r="260" customFormat="false" ht="15" hidden="false" customHeight="false" outlineLevel="0" collapsed="false">
      <c r="A260" s="16"/>
      <c r="B260" s="16"/>
      <c r="C260" s="16"/>
      <c r="D260" s="16"/>
      <c r="E260" s="17"/>
      <c r="F260" s="17"/>
      <c r="G260" s="16"/>
      <c r="H260" s="16"/>
      <c r="I260" s="16"/>
    </row>
    <row r="261" customFormat="false" ht="15" hidden="false" customHeight="false" outlineLevel="0" collapsed="false">
      <c r="A261" s="16"/>
      <c r="B261" s="16"/>
      <c r="C261" s="16"/>
      <c r="D261" s="16"/>
      <c r="E261" s="17"/>
      <c r="F261" s="17"/>
      <c r="G261" s="16"/>
      <c r="H261" s="16"/>
      <c r="I261" s="16"/>
    </row>
    <row r="262" customFormat="false" ht="15" hidden="false" customHeight="false" outlineLevel="0" collapsed="false">
      <c r="A262" s="16"/>
      <c r="B262" s="16"/>
      <c r="C262" s="16"/>
      <c r="D262" s="16"/>
      <c r="E262" s="17"/>
      <c r="F262" s="17"/>
      <c r="G262" s="16"/>
      <c r="H262" s="16"/>
      <c r="I262" s="16"/>
    </row>
    <row r="263" customFormat="false" ht="15" hidden="false" customHeight="false" outlineLevel="0" collapsed="false">
      <c r="A263" s="16"/>
      <c r="B263" s="16"/>
      <c r="C263" s="16"/>
      <c r="D263" s="16"/>
      <c r="E263" s="17"/>
      <c r="F263" s="17"/>
      <c r="G263" s="16"/>
      <c r="H263" s="16"/>
      <c r="I263" s="16"/>
    </row>
    <row r="264" customFormat="false" ht="15" hidden="false" customHeight="false" outlineLevel="0" collapsed="false">
      <c r="A264" s="16"/>
      <c r="B264" s="16"/>
      <c r="C264" s="16"/>
      <c r="D264" s="16"/>
      <c r="E264" s="17"/>
      <c r="F264" s="17"/>
      <c r="G264" s="16"/>
      <c r="H264" s="16"/>
      <c r="I264" s="16"/>
    </row>
    <row r="265" customFormat="false" ht="15" hidden="false" customHeight="false" outlineLevel="0" collapsed="false">
      <c r="A265" s="16"/>
      <c r="B265" s="16"/>
      <c r="C265" s="16"/>
      <c r="D265" s="16"/>
      <c r="E265" s="17"/>
      <c r="F265" s="17"/>
      <c r="G265" s="16"/>
      <c r="H265" s="16"/>
      <c r="I265" s="16"/>
    </row>
    <row r="266" customFormat="false" ht="15" hidden="false" customHeight="false" outlineLevel="0" collapsed="false">
      <c r="A266" s="16"/>
      <c r="B266" s="16"/>
      <c r="C266" s="16"/>
      <c r="D266" s="16"/>
      <c r="E266" s="17"/>
      <c r="F266" s="17"/>
      <c r="G266" s="16"/>
      <c r="H266" s="16"/>
      <c r="I266" s="16"/>
    </row>
    <row r="267" customFormat="false" ht="15" hidden="false" customHeight="false" outlineLevel="0" collapsed="false">
      <c r="A267" s="16"/>
      <c r="B267" s="16"/>
      <c r="C267" s="16"/>
      <c r="D267" s="16"/>
      <c r="E267" s="17"/>
      <c r="F267" s="17"/>
      <c r="G267" s="16"/>
      <c r="H267" s="16"/>
      <c r="I267" s="16"/>
    </row>
    <row r="268" customFormat="false" ht="15" hidden="false" customHeight="false" outlineLevel="0" collapsed="false">
      <c r="A268" s="16"/>
      <c r="B268" s="16"/>
      <c r="C268" s="16"/>
      <c r="D268" s="16"/>
      <c r="E268" s="17"/>
      <c r="F268" s="17"/>
      <c r="G268" s="16"/>
      <c r="H268" s="16"/>
      <c r="I268" s="16"/>
    </row>
    <row r="269" customFormat="false" ht="15" hidden="false" customHeight="false" outlineLevel="0" collapsed="false">
      <c r="A269" s="16"/>
      <c r="B269" s="16"/>
      <c r="C269" s="16"/>
      <c r="D269" s="16"/>
      <c r="E269" s="17"/>
      <c r="F269" s="17"/>
      <c r="G269" s="16"/>
      <c r="H269" s="16"/>
      <c r="I269" s="16"/>
    </row>
    <row r="270" customFormat="false" ht="15" hidden="false" customHeight="false" outlineLevel="0" collapsed="false">
      <c r="A270" s="16"/>
      <c r="B270" s="16"/>
      <c r="C270" s="16"/>
      <c r="D270" s="16"/>
      <c r="E270" s="17"/>
      <c r="F270" s="17"/>
      <c r="G270" s="16"/>
      <c r="H270" s="16"/>
      <c r="I270" s="16"/>
    </row>
    <row r="271" customFormat="false" ht="15" hidden="false" customHeight="false" outlineLevel="0" collapsed="false">
      <c r="A271" s="16"/>
      <c r="B271" s="16"/>
      <c r="C271" s="16"/>
      <c r="D271" s="16"/>
      <c r="E271" s="17"/>
      <c r="F271" s="17"/>
      <c r="G271" s="16"/>
      <c r="H271" s="16"/>
      <c r="I271" s="16"/>
    </row>
    <row r="272" customFormat="false" ht="15" hidden="false" customHeight="false" outlineLevel="0" collapsed="false">
      <c r="A272" s="16"/>
      <c r="B272" s="16"/>
      <c r="C272" s="16"/>
      <c r="D272" s="16"/>
      <c r="E272" s="17"/>
      <c r="F272" s="17"/>
      <c r="G272" s="16"/>
      <c r="H272" s="16"/>
      <c r="I272" s="16"/>
    </row>
    <row r="273" customFormat="false" ht="15" hidden="false" customHeight="false" outlineLevel="0" collapsed="false">
      <c r="A273" s="16"/>
      <c r="B273" s="16"/>
      <c r="C273" s="16"/>
      <c r="D273" s="16"/>
      <c r="E273" s="17"/>
      <c r="F273" s="17"/>
      <c r="G273" s="16"/>
      <c r="H273" s="16"/>
      <c r="I273" s="16"/>
    </row>
    <row r="274" customFormat="false" ht="15" hidden="false" customHeight="false" outlineLevel="0" collapsed="false">
      <c r="A274" s="16"/>
      <c r="B274" s="16"/>
      <c r="C274" s="16"/>
      <c r="D274" s="16"/>
      <c r="E274" s="17"/>
      <c r="F274" s="17"/>
      <c r="G274" s="16"/>
      <c r="H274" s="16"/>
      <c r="I274" s="16"/>
    </row>
    <row r="275" customFormat="false" ht="15" hidden="false" customHeight="false" outlineLevel="0" collapsed="false">
      <c r="A275" s="16"/>
      <c r="B275" s="16"/>
      <c r="C275" s="16"/>
      <c r="D275" s="16"/>
      <c r="E275" s="17"/>
      <c r="F275" s="17"/>
      <c r="G275" s="16"/>
      <c r="H275" s="16"/>
      <c r="I275" s="16"/>
    </row>
    <row r="276" customFormat="false" ht="15" hidden="false" customHeight="false" outlineLevel="0" collapsed="false">
      <c r="A276" s="16"/>
      <c r="B276" s="16"/>
      <c r="C276" s="16"/>
      <c r="D276" s="16"/>
      <c r="E276" s="17"/>
      <c r="F276" s="17"/>
      <c r="G276" s="16"/>
      <c r="H276" s="16"/>
      <c r="I276" s="16"/>
    </row>
    <row r="277" customFormat="false" ht="15" hidden="false" customHeight="false" outlineLevel="0" collapsed="false">
      <c r="A277" s="16"/>
      <c r="B277" s="16"/>
      <c r="C277" s="16"/>
      <c r="D277" s="16"/>
      <c r="E277" s="17"/>
      <c r="F277" s="17"/>
      <c r="G277" s="16"/>
      <c r="H277" s="16"/>
      <c r="I277" s="16"/>
    </row>
    <row r="278" customFormat="false" ht="15" hidden="false" customHeight="false" outlineLevel="0" collapsed="false">
      <c r="A278" s="16"/>
      <c r="B278" s="16"/>
      <c r="C278" s="16"/>
      <c r="D278" s="16"/>
      <c r="E278" s="17"/>
      <c r="F278" s="17"/>
      <c r="G278" s="16"/>
      <c r="H278" s="16"/>
      <c r="I278" s="16"/>
    </row>
    <row r="279" customFormat="false" ht="15" hidden="false" customHeight="false" outlineLevel="0" collapsed="false">
      <c r="A279" s="16"/>
      <c r="B279" s="16"/>
      <c r="C279" s="16"/>
      <c r="D279" s="16"/>
      <c r="E279" s="17"/>
      <c r="F279" s="17"/>
      <c r="G279" s="16"/>
      <c r="H279" s="16"/>
      <c r="I279" s="16"/>
    </row>
    <row r="280" customFormat="false" ht="15" hidden="false" customHeight="false" outlineLevel="0" collapsed="false">
      <c r="A280" s="16"/>
      <c r="B280" s="16"/>
      <c r="C280" s="16"/>
      <c r="D280" s="16"/>
      <c r="E280" s="17"/>
      <c r="F280" s="17"/>
      <c r="G280" s="16"/>
      <c r="H280" s="16"/>
      <c r="I280" s="16"/>
    </row>
    <row r="281" customFormat="false" ht="15" hidden="false" customHeight="false" outlineLevel="0" collapsed="false">
      <c r="A281" s="16"/>
      <c r="B281" s="16"/>
      <c r="C281" s="16"/>
      <c r="D281" s="16"/>
      <c r="E281" s="17"/>
      <c r="F281" s="17"/>
      <c r="G281" s="16"/>
      <c r="H281" s="16"/>
      <c r="I281" s="16"/>
    </row>
    <row r="282" customFormat="false" ht="15" hidden="false" customHeight="false" outlineLevel="0" collapsed="false">
      <c r="A282" s="16"/>
      <c r="B282" s="16"/>
      <c r="C282" s="16"/>
      <c r="D282" s="16"/>
      <c r="E282" s="17"/>
      <c r="F282" s="17"/>
      <c r="G282" s="16"/>
      <c r="H282" s="16"/>
      <c r="I282" s="16"/>
    </row>
    <row r="283" customFormat="false" ht="15" hidden="false" customHeight="false" outlineLevel="0" collapsed="false">
      <c r="A283" s="16"/>
      <c r="B283" s="16"/>
      <c r="C283" s="16"/>
      <c r="D283" s="16"/>
      <c r="E283" s="17"/>
      <c r="F283" s="17"/>
      <c r="G283" s="16"/>
      <c r="H283" s="16"/>
      <c r="I283" s="16"/>
    </row>
    <row r="284" customFormat="false" ht="15" hidden="false" customHeight="false" outlineLevel="0" collapsed="false">
      <c r="A284" s="16"/>
      <c r="B284" s="16"/>
      <c r="C284" s="16"/>
      <c r="D284" s="16"/>
      <c r="E284" s="17"/>
      <c r="F284" s="17"/>
      <c r="G284" s="16"/>
      <c r="H284" s="16"/>
      <c r="I284" s="16"/>
    </row>
    <row r="285" customFormat="false" ht="15" hidden="false" customHeight="false" outlineLevel="0" collapsed="false">
      <c r="A285" s="16"/>
      <c r="B285" s="16"/>
      <c r="C285" s="16"/>
      <c r="D285" s="16"/>
      <c r="E285" s="17"/>
      <c r="F285" s="17"/>
      <c r="G285" s="16"/>
      <c r="H285" s="16"/>
      <c r="I285" s="16"/>
    </row>
    <row r="286" customFormat="false" ht="15" hidden="false" customHeight="false" outlineLevel="0" collapsed="false">
      <c r="A286" s="16"/>
      <c r="B286" s="16"/>
      <c r="C286" s="16"/>
      <c r="D286" s="16"/>
      <c r="E286" s="17"/>
      <c r="F286" s="17"/>
      <c r="G286" s="16"/>
      <c r="H286" s="16"/>
      <c r="I286" s="16"/>
    </row>
    <row r="287" customFormat="false" ht="15" hidden="false" customHeight="false" outlineLevel="0" collapsed="false">
      <c r="A287" s="16"/>
      <c r="B287" s="16"/>
      <c r="C287" s="16"/>
      <c r="D287" s="16"/>
      <c r="E287" s="17"/>
      <c r="F287" s="17"/>
      <c r="G287" s="16"/>
      <c r="H287" s="16"/>
      <c r="I287" s="16"/>
    </row>
    <row r="288" customFormat="false" ht="15" hidden="false" customHeight="false" outlineLevel="0" collapsed="false">
      <c r="A288" s="16"/>
      <c r="B288" s="16"/>
      <c r="C288" s="16"/>
      <c r="D288" s="16"/>
      <c r="E288" s="17"/>
      <c r="F288" s="17"/>
      <c r="G288" s="16"/>
      <c r="H288" s="16"/>
      <c r="I288" s="16"/>
    </row>
    <row r="289" customFormat="false" ht="15" hidden="false" customHeight="false" outlineLevel="0" collapsed="false">
      <c r="A289" s="16"/>
      <c r="B289" s="16"/>
      <c r="C289" s="16"/>
      <c r="D289" s="16"/>
      <c r="E289" s="17"/>
      <c r="F289" s="17"/>
      <c r="G289" s="16"/>
      <c r="H289" s="16"/>
      <c r="I289" s="16"/>
    </row>
    <row r="290" customFormat="false" ht="15" hidden="false" customHeight="false" outlineLevel="0" collapsed="false">
      <c r="A290" s="16"/>
      <c r="B290" s="16"/>
      <c r="C290" s="16"/>
      <c r="D290" s="16"/>
      <c r="E290" s="17"/>
      <c r="F290" s="17"/>
      <c r="G290" s="16"/>
      <c r="H290" s="16"/>
      <c r="I290" s="16"/>
    </row>
    <row r="291" customFormat="false" ht="15" hidden="false" customHeight="false" outlineLevel="0" collapsed="false">
      <c r="A291" s="16"/>
      <c r="B291" s="16"/>
      <c r="C291" s="16"/>
      <c r="D291" s="16"/>
      <c r="E291" s="17"/>
      <c r="F291" s="17"/>
      <c r="G291" s="16"/>
      <c r="H291" s="16"/>
      <c r="I291" s="16"/>
    </row>
    <row r="292" customFormat="false" ht="15" hidden="false" customHeight="false" outlineLevel="0" collapsed="false">
      <c r="A292" s="16"/>
      <c r="B292" s="16"/>
      <c r="C292" s="16"/>
      <c r="D292" s="16"/>
      <c r="E292" s="17"/>
      <c r="F292" s="17"/>
      <c r="G292" s="16"/>
      <c r="H292" s="16"/>
      <c r="I292" s="16"/>
    </row>
    <row r="293" customFormat="false" ht="15" hidden="false" customHeight="false" outlineLevel="0" collapsed="false">
      <c r="A293" s="16"/>
      <c r="B293" s="16"/>
      <c r="C293" s="16"/>
      <c r="D293" s="16"/>
      <c r="E293" s="17"/>
      <c r="F293" s="17"/>
      <c r="G293" s="16"/>
      <c r="H293" s="16"/>
      <c r="I293" s="16"/>
    </row>
    <row r="294" customFormat="false" ht="15" hidden="false" customHeight="false" outlineLevel="0" collapsed="false">
      <c r="A294" s="16"/>
      <c r="B294" s="16"/>
      <c r="C294" s="16"/>
      <c r="D294" s="16"/>
      <c r="E294" s="17"/>
      <c r="F294" s="17"/>
      <c r="G294" s="16"/>
      <c r="H294" s="16"/>
      <c r="I294" s="16"/>
    </row>
    <row r="295" customFormat="false" ht="15" hidden="false" customHeight="false" outlineLevel="0" collapsed="false">
      <c r="A295" s="16"/>
      <c r="B295" s="16"/>
      <c r="C295" s="16"/>
      <c r="D295" s="16"/>
      <c r="E295" s="17"/>
      <c r="F295" s="17"/>
      <c r="G295" s="16"/>
      <c r="H295" s="16"/>
      <c r="I295" s="16"/>
    </row>
    <row r="296" customFormat="false" ht="15" hidden="false" customHeight="false" outlineLevel="0" collapsed="false">
      <c r="A296" s="16"/>
      <c r="B296" s="16"/>
      <c r="C296" s="16"/>
      <c r="D296" s="16"/>
      <c r="E296" s="17"/>
      <c r="F296" s="17"/>
      <c r="G296" s="16"/>
      <c r="H296" s="16"/>
      <c r="I296" s="16"/>
    </row>
    <row r="297" customFormat="false" ht="15" hidden="false" customHeight="false" outlineLevel="0" collapsed="false">
      <c r="A297" s="16"/>
      <c r="B297" s="16"/>
      <c r="C297" s="16"/>
      <c r="D297" s="16"/>
      <c r="E297" s="17"/>
      <c r="F297" s="17"/>
      <c r="G297" s="16"/>
      <c r="H297" s="16"/>
      <c r="I297" s="16"/>
    </row>
    <row r="298" customFormat="false" ht="15" hidden="false" customHeight="false" outlineLevel="0" collapsed="false">
      <c r="A298" s="16"/>
      <c r="B298" s="16"/>
      <c r="C298" s="16"/>
      <c r="D298" s="16"/>
      <c r="E298" s="17"/>
      <c r="F298" s="17"/>
      <c r="G298" s="16"/>
      <c r="H298" s="16"/>
      <c r="I298" s="16"/>
    </row>
    <row r="299" customFormat="false" ht="15" hidden="false" customHeight="false" outlineLevel="0" collapsed="false">
      <c r="A299" s="16"/>
      <c r="B299" s="16"/>
      <c r="C299" s="16"/>
      <c r="D299" s="16"/>
      <c r="E299" s="17"/>
      <c r="F299" s="17"/>
      <c r="G299" s="16"/>
      <c r="H299" s="16"/>
      <c r="I299" s="16"/>
    </row>
    <row r="300" customFormat="false" ht="15" hidden="false" customHeight="false" outlineLevel="0" collapsed="false">
      <c r="A300" s="16"/>
      <c r="B300" s="16"/>
      <c r="C300" s="16"/>
      <c r="D300" s="16"/>
      <c r="E300" s="17"/>
      <c r="F300" s="17"/>
      <c r="G300" s="16"/>
      <c r="H300" s="16"/>
      <c r="I300" s="16"/>
    </row>
    <row r="301" customFormat="false" ht="15" hidden="false" customHeight="false" outlineLevel="0" collapsed="false">
      <c r="A301" s="16"/>
      <c r="B301" s="16"/>
      <c r="C301" s="16"/>
      <c r="D301" s="16"/>
      <c r="E301" s="17"/>
      <c r="F301" s="17"/>
      <c r="G301" s="16"/>
      <c r="H301" s="16"/>
      <c r="I301" s="16"/>
    </row>
  </sheetData>
  <autoFilter ref="A1:I301"/>
  <dataValidations count="3">
    <dataValidation allowBlank="true" error="Please choose an item from the dropdown list." errorStyle="stop" errorTitle="Invalid entry" operator="between" showDropDown="false" showErrorMessage="false" showInputMessage="false" sqref="A2:A301" type="list">
      <formula1>'Job List'!$A$2:$A$16</formula1>
      <formula2>0</formula2>
    </dataValidation>
    <dataValidation allowBlank="true" error="Please choose an item from the dropdown list." errorStyle="stop" errorTitle="Invalid entry" operator="between" showDropDown="false" showErrorMessage="false" showInputMessage="false" sqref="D2:D301" type="list">
      <formula1>"48-Hour Lookahead,10-Day Lookahead,3-Week Lookahead,6-Week Lookahead,General Schedule"</formula1>
      <formula2>0</formula2>
    </dataValidation>
    <dataValidation allowBlank="true" error="Please choose an item from the dropdown list." errorStyle="stop" errorTitle="Invalid entry" operator="between" showDropDown="false" showErrorMessage="false" showInputMessage="false" sqref="G2:G301" type="list">
      <formula1>"Scheduled,In Progress,Complete,Delayed,On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9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26"/>
  </cols>
  <sheetData>
    <row r="1" customFormat="false" ht="30" hidden="false" customHeight="true" outlineLevel="0" collapsed="false">
      <c r="A1" s="7" t="s">
        <v>27</v>
      </c>
      <c r="B1" s="7" t="s">
        <v>28</v>
      </c>
      <c r="C1" s="7" t="s">
        <v>96</v>
      </c>
      <c r="D1" s="7" t="s">
        <v>86</v>
      </c>
      <c r="E1" s="7" t="s">
        <v>97</v>
      </c>
      <c r="F1" s="7" t="s">
        <v>98</v>
      </c>
      <c r="G1" s="7" t="s">
        <v>99</v>
      </c>
      <c r="H1" s="7" t="s">
        <v>75</v>
      </c>
      <c r="I1" s="7" t="s">
        <v>100</v>
      </c>
      <c r="J1" s="7" t="s">
        <v>74</v>
      </c>
      <c r="K1" s="7" t="s">
        <v>79</v>
      </c>
    </row>
    <row r="2" customFormat="false" ht="15" hidden="false" customHeight="false" outlineLevel="0" collapsed="false">
      <c r="A2" s="16"/>
      <c r="B2" s="16"/>
      <c r="C2" s="16"/>
      <c r="D2" s="16"/>
      <c r="E2" s="16"/>
      <c r="F2" s="17"/>
      <c r="G2" s="16"/>
      <c r="H2" s="16"/>
      <c r="I2" s="17"/>
      <c r="J2" s="16" t="str">
        <f aca="true">IF(F2="","",IF(I2&lt;&gt;"",I2-F2,TODAY()-F2))</f>
        <v/>
      </c>
      <c r="K2" s="16"/>
    </row>
    <row r="3" customFormat="false" ht="15" hidden="false" customHeight="false" outlineLevel="0" collapsed="false">
      <c r="A3" s="16"/>
      <c r="B3" s="16"/>
      <c r="C3" s="16"/>
      <c r="D3" s="16"/>
      <c r="E3" s="16"/>
      <c r="F3" s="17"/>
      <c r="G3" s="16"/>
      <c r="H3" s="16"/>
      <c r="I3" s="17"/>
      <c r="J3" s="16" t="str">
        <f aca="true">IF(F3="","",IF(I3&lt;&gt;"",I3-F3,TODAY()-F3))</f>
        <v/>
      </c>
      <c r="K3" s="16"/>
    </row>
    <row r="4" customFormat="false" ht="15" hidden="false" customHeight="false" outlineLevel="0" collapsed="false">
      <c r="A4" s="16"/>
      <c r="B4" s="16"/>
      <c r="C4" s="16"/>
      <c r="D4" s="16"/>
      <c r="E4" s="16"/>
      <c r="F4" s="17"/>
      <c r="G4" s="16"/>
      <c r="H4" s="16"/>
      <c r="I4" s="17"/>
      <c r="J4" s="16" t="str">
        <f aca="true">IF(F4="","",IF(I4&lt;&gt;"",I4-F4,TODAY()-F4))</f>
        <v/>
      </c>
      <c r="K4" s="16"/>
    </row>
    <row r="5" customFormat="false" ht="15" hidden="false" customHeight="false" outlineLevel="0" collapsed="false">
      <c r="A5" s="16"/>
      <c r="B5" s="16"/>
      <c r="C5" s="16"/>
      <c r="D5" s="16"/>
      <c r="E5" s="16"/>
      <c r="F5" s="17"/>
      <c r="G5" s="16"/>
      <c r="H5" s="16"/>
      <c r="I5" s="17"/>
      <c r="J5" s="16" t="str">
        <f aca="true">IF(F5="","",IF(I5&lt;&gt;"",I5-F5,TODAY()-F5))</f>
        <v/>
      </c>
      <c r="K5" s="16"/>
    </row>
    <row r="6" customFormat="false" ht="15" hidden="false" customHeight="false" outlineLevel="0" collapsed="false">
      <c r="A6" s="16"/>
      <c r="B6" s="16"/>
      <c r="C6" s="16"/>
      <c r="D6" s="16"/>
      <c r="E6" s="16"/>
      <c r="F6" s="17"/>
      <c r="G6" s="16"/>
      <c r="H6" s="16"/>
      <c r="I6" s="17"/>
      <c r="J6" s="16" t="str">
        <f aca="true">IF(F6="","",IF(I6&lt;&gt;"",I6-F6,TODAY()-F6))</f>
        <v/>
      </c>
      <c r="K6" s="16"/>
    </row>
    <row r="7" customFormat="false" ht="15" hidden="false" customHeight="false" outlineLevel="0" collapsed="false">
      <c r="A7" s="16"/>
      <c r="B7" s="16"/>
      <c r="C7" s="16"/>
      <c r="D7" s="16"/>
      <c r="E7" s="16"/>
      <c r="F7" s="17"/>
      <c r="G7" s="16"/>
      <c r="H7" s="16"/>
      <c r="I7" s="17"/>
      <c r="J7" s="16" t="str">
        <f aca="true">IF(F7="","",IF(I7&lt;&gt;"",I7-F7,TODAY()-F7))</f>
        <v/>
      </c>
      <c r="K7" s="16"/>
    </row>
    <row r="8" customFormat="false" ht="15" hidden="false" customHeight="false" outlineLevel="0" collapsed="false">
      <c r="A8" s="16"/>
      <c r="B8" s="16"/>
      <c r="C8" s="16"/>
      <c r="D8" s="16"/>
      <c r="E8" s="16"/>
      <c r="F8" s="17"/>
      <c r="G8" s="16"/>
      <c r="H8" s="16"/>
      <c r="I8" s="17"/>
      <c r="J8" s="16" t="str">
        <f aca="true">IF(F8="","",IF(I8&lt;&gt;"",I8-F8,TODAY()-F8))</f>
        <v/>
      </c>
      <c r="K8" s="16"/>
    </row>
    <row r="9" customFormat="false" ht="15" hidden="false" customHeight="false" outlineLevel="0" collapsed="false">
      <c r="A9" s="16"/>
      <c r="B9" s="16"/>
      <c r="C9" s="16"/>
      <c r="D9" s="16"/>
      <c r="E9" s="16"/>
      <c r="F9" s="17"/>
      <c r="G9" s="16"/>
      <c r="H9" s="16"/>
      <c r="I9" s="17"/>
      <c r="J9" s="16" t="str">
        <f aca="true">IF(F9="","",IF(I9&lt;&gt;"",I9-F9,TODAY()-F9))</f>
        <v/>
      </c>
      <c r="K9" s="16"/>
    </row>
    <row r="10" customFormat="false" ht="15" hidden="false" customHeight="false" outlineLevel="0" collapsed="false">
      <c r="A10" s="16"/>
      <c r="B10" s="16"/>
      <c r="C10" s="16"/>
      <c r="D10" s="16"/>
      <c r="E10" s="16"/>
      <c r="F10" s="17"/>
      <c r="G10" s="16"/>
      <c r="H10" s="16"/>
      <c r="I10" s="17"/>
      <c r="J10" s="16" t="str">
        <f aca="true">IF(F10="","",IF(I10&lt;&gt;"",I10-F10,TODAY()-F10))</f>
        <v/>
      </c>
      <c r="K10" s="16"/>
    </row>
    <row r="11" customFormat="false" ht="15" hidden="false" customHeight="false" outlineLevel="0" collapsed="false">
      <c r="A11" s="16"/>
      <c r="B11" s="16"/>
      <c r="C11" s="16"/>
      <c r="D11" s="16"/>
      <c r="E11" s="16"/>
      <c r="F11" s="17"/>
      <c r="G11" s="16"/>
      <c r="H11" s="16"/>
      <c r="I11" s="17"/>
      <c r="J11" s="16" t="str">
        <f aca="true">IF(F11="","",IF(I11&lt;&gt;"",I11-F11,TODAY()-F11))</f>
        <v/>
      </c>
      <c r="K11" s="16"/>
    </row>
    <row r="12" customFormat="false" ht="15" hidden="false" customHeight="false" outlineLevel="0" collapsed="false">
      <c r="A12" s="16"/>
      <c r="B12" s="16"/>
      <c r="C12" s="16"/>
      <c r="D12" s="16"/>
      <c r="E12" s="16"/>
      <c r="F12" s="17"/>
      <c r="G12" s="16"/>
      <c r="H12" s="16"/>
      <c r="I12" s="17"/>
      <c r="J12" s="16" t="str">
        <f aca="true">IF(F12="","",IF(I12&lt;&gt;"",I12-F12,TODAY()-F12))</f>
        <v/>
      </c>
      <c r="K12" s="16"/>
    </row>
    <row r="13" customFormat="false" ht="15" hidden="false" customHeight="false" outlineLevel="0" collapsed="false">
      <c r="A13" s="16"/>
      <c r="B13" s="16"/>
      <c r="C13" s="16"/>
      <c r="D13" s="16"/>
      <c r="E13" s="16"/>
      <c r="F13" s="17"/>
      <c r="G13" s="16"/>
      <c r="H13" s="16"/>
      <c r="I13" s="17"/>
      <c r="J13" s="16" t="str">
        <f aca="true">IF(F13="","",IF(I13&lt;&gt;"",I13-F13,TODAY()-F13))</f>
        <v/>
      </c>
      <c r="K13" s="16"/>
    </row>
    <row r="14" customFormat="false" ht="15" hidden="false" customHeight="false" outlineLevel="0" collapsed="false">
      <c r="A14" s="16"/>
      <c r="B14" s="16"/>
      <c r="C14" s="16"/>
      <c r="D14" s="16"/>
      <c r="E14" s="16"/>
      <c r="F14" s="17"/>
      <c r="G14" s="16"/>
      <c r="H14" s="16"/>
      <c r="I14" s="17"/>
      <c r="J14" s="16" t="str">
        <f aca="true">IF(F14="","",IF(I14&lt;&gt;"",I14-F14,TODAY()-F14))</f>
        <v/>
      </c>
      <c r="K14" s="16"/>
    </row>
    <row r="15" customFormat="false" ht="15" hidden="false" customHeight="false" outlineLevel="0" collapsed="false">
      <c r="A15" s="16"/>
      <c r="B15" s="16"/>
      <c r="C15" s="16"/>
      <c r="D15" s="16"/>
      <c r="E15" s="16"/>
      <c r="F15" s="17"/>
      <c r="G15" s="16"/>
      <c r="H15" s="16"/>
      <c r="I15" s="17"/>
      <c r="J15" s="16" t="str">
        <f aca="true">IF(F15="","",IF(I15&lt;&gt;"",I15-F15,TODAY()-F15))</f>
        <v/>
      </c>
      <c r="K15" s="16"/>
    </row>
    <row r="16" customFormat="false" ht="15" hidden="false" customHeight="false" outlineLevel="0" collapsed="false">
      <c r="A16" s="16"/>
      <c r="B16" s="16"/>
      <c r="C16" s="16"/>
      <c r="D16" s="16"/>
      <c r="E16" s="16"/>
      <c r="F16" s="17"/>
      <c r="G16" s="16"/>
      <c r="H16" s="16"/>
      <c r="I16" s="17"/>
      <c r="J16" s="16" t="str">
        <f aca="true">IF(F16="","",IF(I16&lt;&gt;"",I16-F16,TODAY()-F16))</f>
        <v/>
      </c>
      <c r="K16" s="16"/>
    </row>
    <row r="17" customFormat="false" ht="15" hidden="false" customHeight="false" outlineLevel="0" collapsed="false">
      <c r="A17" s="16"/>
      <c r="B17" s="16"/>
      <c r="C17" s="16"/>
      <c r="D17" s="16"/>
      <c r="E17" s="16"/>
      <c r="F17" s="17"/>
      <c r="G17" s="16"/>
      <c r="H17" s="16"/>
      <c r="I17" s="17"/>
      <c r="J17" s="16" t="str">
        <f aca="true">IF(F17="","",IF(I17&lt;&gt;"",I17-F17,TODAY()-F17))</f>
        <v/>
      </c>
      <c r="K17" s="16"/>
    </row>
    <row r="18" customFormat="false" ht="15" hidden="false" customHeight="false" outlineLevel="0" collapsed="false">
      <c r="A18" s="16"/>
      <c r="B18" s="16"/>
      <c r="C18" s="16"/>
      <c r="D18" s="16"/>
      <c r="E18" s="16"/>
      <c r="F18" s="17"/>
      <c r="G18" s="16"/>
      <c r="H18" s="16"/>
      <c r="I18" s="17"/>
      <c r="J18" s="16" t="str">
        <f aca="true">IF(F18="","",IF(I18&lt;&gt;"",I18-F18,TODAY()-F18))</f>
        <v/>
      </c>
      <c r="K18" s="16"/>
    </row>
    <row r="19" customFormat="false" ht="15" hidden="false" customHeight="false" outlineLevel="0" collapsed="false">
      <c r="A19" s="16"/>
      <c r="B19" s="16"/>
      <c r="C19" s="16"/>
      <c r="D19" s="16"/>
      <c r="E19" s="16"/>
      <c r="F19" s="17"/>
      <c r="G19" s="16"/>
      <c r="H19" s="16"/>
      <c r="I19" s="17"/>
      <c r="J19" s="16" t="str">
        <f aca="true">IF(F19="","",IF(I19&lt;&gt;"",I19-F19,TODAY()-F19))</f>
        <v/>
      </c>
      <c r="K19" s="16"/>
    </row>
    <row r="20" customFormat="false" ht="15" hidden="false" customHeight="false" outlineLevel="0" collapsed="false">
      <c r="A20" s="16"/>
      <c r="B20" s="16"/>
      <c r="C20" s="16"/>
      <c r="D20" s="16"/>
      <c r="E20" s="16"/>
      <c r="F20" s="17"/>
      <c r="G20" s="16"/>
      <c r="H20" s="16"/>
      <c r="I20" s="17"/>
      <c r="J20" s="16" t="str">
        <f aca="true">IF(F20="","",IF(I20&lt;&gt;"",I20-F20,TODAY()-F20))</f>
        <v/>
      </c>
      <c r="K20" s="16"/>
    </row>
    <row r="21" customFormat="false" ht="15" hidden="false" customHeight="false" outlineLevel="0" collapsed="false">
      <c r="A21" s="16"/>
      <c r="B21" s="16"/>
      <c r="C21" s="16"/>
      <c r="D21" s="16"/>
      <c r="E21" s="16"/>
      <c r="F21" s="17"/>
      <c r="G21" s="16"/>
      <c r="H21" s="16"/>
      <c r="I21" s="17"/>
      <c r="J21" s="16" t="str">
        <f aca="true">IF(F21="","",IF(I21&lt;&gt;"",I21-F21,TODAY()-F21))</f>
        <v/>
      </c>
      <c r="K21" s="16"/>
    </row>
    <row r="22" customFormat="false" ht="15" hidden="false" customHeight="false" outlineLevel="0" collapsed="false">
      <c r="A22" s="16"/>
      <c r="B22" s="16"/>
      <c r="C22" s="16"/>
      <c r="D22" s="16"/>
      <c r="E22" s="16"/>
      <c r="F22" s="17"/>
      <c r="G22" s="16"/>
      <c r="H22" s="16"/>
      <c r="I22" s="17"/>
      <c r="J22" s="16" t="str">
        <f aca="true">IF(F22="","",IF(I22&lt;&gt;"",I22-F22,TODAY()-F22))</f>
        <v/>
      </c>
      <c r="K22" s="16"/>
    </row>
    <row r="23" customFormat="false" ht="15" hidden="false" customHeight="false" outlineLevel="0" collapsed="false">
      <c r="A23" s="16"/>
      <c r="B23" s="16"/>
      <c r="C23" s="16"/>
      <c r="D23" s="16"/>
      <c r="E23" s="16"/>
      <c r="F23" s="17"/>
      <c r="G23" s="16"/>
      <c r="H23" s="16"/>
      <c r="I23" s="17"/>
      <c r="J23" s="16" t="str">
        <f aca="true">IF(F23="","",IF(I23&lt;&gt;"",I23-F23,TODAY()-F23))</f>
        <v/>
      </c>
      <c r="K23" s="16"/>
    </row>
    <row r="24" customFormat="false" ht="15" hidden="false" customHeight="false" outlineLevel="0" collapsed="false">
      <c r="A24" s="16"/>
      <c r="B24" s="16"/>
      <c r="C24" s="16"/>
      <c r="D24" s="16"/>
      <c r="E24" s="16"/>
      <c r="F24" s="17"/>
      <c r="G24" s="16"/>
      <c r="H24" s="16"/>
      <c r="I24" s="17"/>
      <c r="J24" s="16" t="str">
        <f aca="true">IF(F24="","",IF(I24&lt;&gt;"",I24-F24,TODAY()-F24))</f>
        <v/>
      </c>
      <c r="K24" s="16"/>
    </row>
    <row r="25" customFormat="false" ht="15" hidden="false" customHeight="false" outlineLevel="0" collapsed="false">
      <c r="A25" s="16"/>
      <c r="B25" s="16"/>
      <c r="C25" s="16"/>
      <c r="D25" s="16"/>
      <c r="E25" s="16"/>
      <c r="F25" s="17"/>
      <c r="G25" s="16"/>
      <c r="H25" s="16"/>
      <c r="I25" s="17"/>
      <c r="J25" s="16" t="str">
        <f aca="true">IF(F25="","",IF(I25&lt;&gt;"",I25-F25,TODAY()-F25))</f>
        <v/>
      </c>
      <c r="K25" s="16"/>
    </row>
    <row r="26" customFormat="false" ht="15" hidden="false" customHeight="false" outlineLevel="0" collapsed="false">
      <c r="A26" s="16"/>
      <c r="B26" s="16"/>
      <c r="C26" s="16"/>
      <c r="D26" s="16"/>
      <c r="E26" s="16"/>
      <c r="F26" s="17"/>
      <c r="G26" s="16"/>
      <c r="H26" s="16"/>
      <c r="I26" s="17"/>
      <c r="J26" s="16" t="str">
        <f aca="true">IF(F26="","",IF(I26&lt;&gt;"",I26-F26,TODAY()-F26))</f>
        <v/>
      </c>
      <c r="K26" s="16"/>
    </row>
    <row r="27" customFormat="false" ht="15" hidden="false" customHeight="false" outlineLevel="0" collapsed="false">
      <c r="A27" s="16"/>
      <c r="B27" s="16"/>
      <c r="C27" s="16"/>
      <c r="D27" s="16"/>
      <c r="E27" s="16"/>
      <c r="F27" s="17"/>
      <c r="G27" s="16"/>
      <c r="H27" s="16"/>
      <c r="I27" s="17"/>
      <c r="J27" s="16" t="str">
        <f aca="true">IF(F27="","",IF(I27&lt;&gt;"",I27-F27,TODAY()-F27))</f>
        <v/>
      </c>
      <c r="K27" s="16"/>
    </row>
    <row r="28" customFormat="false" ht="15" hidden="false" customHeight="false" outlineLevel="0" collapsed="false">
      <c r="A28" s="16"/>
      <c r="B28" s="16"/>
      <c r="C28" s="16"/>
      <c r="D28" s="16"/>
      <c r="E28" s="16"/>
      <c r="F28" s="17"/>
      <c r="G28" s="16"/>
      <c r="H28" s="16"/>
      <c r="I28" s="17"/>
      <c r="J28" s="16" t="str">
        <f aca="true">IF(F28="","",IF(I28&lt;&gt;"",I28-F28,TODAY()-F28))</f>
        <v/>
      </c>
      <c r="K28" s="16"/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7"/>
      <c r="G29" s="16"/>
      <c r="H29" s="16"/>
      <c r="I29" s="17"/>
      <c r="J29" s="16" t="str">
        <f aca="true">IF(F29="","",IF(I29&lt;&gt;"",I29-F29,TODAY()-F29))</f>
        <v/>
      </c>
      <c r="K29" s="16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7"/>
      <c r="G30" s="16"/>
      <c r="H30" s="16"/>
      <c r="I30" s="17"/>
      <c r="J30" s="16" t="str">
        <f aca="true">IF(F30="","",IF(I30&lt;&gt;"",I30-F30,TODAY()-F30))</f>
        <v/>
      </c>
      <c r="K30" s="16"/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7"/>
      <c r="G31" s="16"/>
      <c r="H31" s="16"/>
      <c r="I31" s="17"/>
      <c r="J31" s="16" t="str">
        <f aca="true">IF(F31="","",IF(I31&lt;&gt;"",I31-F31,TODAY()-F31))</f>
        <v/>
      </c>
      <c r="K31" s="16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7"/>
      <c r="G32" s="16"/>
      <c r="H32" s="16"/>
      <c r="I32" s="17"/>
      <c r="J32" s="16" t="str">
        <f aca="true">IF(F32="","",IF(I32&lt;&gt;"",I32-F32,TODAY()-F32))</f>
        <v/>
      </c>
      <c r="K32" s="16"/>
    </row>
    <row r="33" customFormat="false" ht="15" hidden="false" customHeight="false" outlineLevel="0" collapsed="false">
      <c r="A33" s="16"/>
      <c r="B33" s="16"/>
      <c r="C33" s="16"/>
      <c r="D33" s="16"/>
      <c r="E33" s="16"/>
      <c r="F33" s="17"/>
      <c r="G33" s="16"/>
      <c r="H33" s="16"/>
      <c r="I33" s="17"/>
      <c r="J33" s="16" t="str">
        <f aca="true">IF(F33="","",IF(I33&lt;&gt;"",I33-F33,TODAY()-F33))</f>
        <v/>
      </c>
      <c r="K33" s="16"/>
    </row>
    <row r="34" customFormat="false" ht="15" hidden="false" customHeight="false" outlineLevel="0" collapsed="false">
      <c r="A34" s="16"/>
      <c r="B34" s="16"/>
      <c r="C34" s="16"/>
      <c r="D34" s="16"/>
      <c r="E34" s="16"/>
      <c r="F34" s="17"/>
      <c r="G34" s="16"/>
      <c r="H34" s="16"/>
      <c r="I34" s="17"/>
      <c r="J34" s="16" t="str">
        <f aca="true">IF(F34="","",IF(I34&lt;&gt;"",I34-F34,TODAY()-F34))</f>
        <v/>
      </c>
      <c r="K34" s="16"/>
    </row>
    <row r="35" customFormat="false" ht="15" hidden="false" customHeight="false" outlineLevel="0" collapsed="false">
      <c r="A35" s="16"/>
      <c r="B35" s="16"/>
      <c r="C35" s="16"/>
      <c r="D35" s="16"/>
      <c r="E35" s="16"/>
      <c r="F35" s="17"/>
      <c r="G35" s="16"/>
      <c r="H35" s="16"/>
      <c r="I35" s="17"/>
      <c r="J35" s="16" t="str">
        <f aca="true">IF(F35="","",IF(I35&lt;&gt;"",I35-F35,TODAY()-F35))</f>
        <v/>
      </c>
      <c r="K35" s="16"/>
    </row>
    <row r="36" customFormat="false" ht="15" hidden="false" customHeight="false" outlineLevel="0" collapsed="false">
      <c r="A36" s="16"/>
      <c r="B36" s="16"/>
      <c r="C36" s="16"/>
      <c r="D36" s="16"/>
      <c r="E36" s="16"/>
      <c r="F36" s="17"/>
      <c r="G36" s="16"/>
      <c r="H36" s="16"/>
      <c r="I36" s="17"/>
      <c r="J36" s="16" t="str">
        <f aca="true">IF(F36="","",IF(I36&lt;&gt;"",I36-F36,TODAY()-F36))</f>
        <v/>
      </c>
      <c r="K36" s="16"/>
    </row>
    <row r="37" customFormat="false" ht="15" hidden="false" customHeight="false" outlineLevel="0" collapsed="false">
      <c r="A37" s="16"/>
      <c r="B37" s="16"/>
      <c r="C37" s="16"/>
      <c r="D37" s="16"/>
      <c r="E37" s="16"/>
      <c r="F37" s="17"/>
      <c r="G37" s="16"/>
      <c r="H37" s="16"/>
      <c r="I37" s="17"/>
      <c r="J37" s="16" t="str">
        <f aca="true">IF(F37="","",IF(I37&lt;&gt;"",I37-F37,TODAY()-F37))</f>
        <v/>
      </c>
      <c r="K37" s="16"/>
    </row>
    <row r="38" customFormat="false" ht="15" hidden="false" customHeight="false" outlineLevel="0" collapsed="false">
      <c r="A38" s="16"/>
      <c r="B38" s="16"/>
      <c r="C38" s="16"/>
      <c r="D38" s="16"/>
      <c r="E38" s="16"/>
      <c r="F38" s="17"/>
      <c r="G38" s="16"/>
      <c r="H38" s="16"/>
      <c r="I38" s="17"/>
      <c r="J38" s="16" t="str">
        <f aca="true">IF(F38="","",IF(I38&lt;&gt;"",I38-F38,TODAY()-F38))</f>
        <v/>
      </c>
      <c r="K38" s="16"/>
    </row>
    <row r="39" customFormat="false" ht="15" hidden="false" customHeight="false" outlineLevel="0" collapsed="false">
      <c r="A39" s="16"/>
      <c r="B39" s="16"/>
      <c r="C39" s="16"/>
      <c r="D39" s="16"/>
      <c r="E39" s="16"/>
      <c r="F39" s="17"/>
      <c r="G39" s="16"/>
      <c r="H39" s="16"/>
      <c r="I39" s="17"/>
      <c r="J39" s="16" t="str">
        <f aca="true">IF(F39="","",IF(I39&lt;&gt;"",I39-F39,TODAY()-F39))</f>
        <v/>
      </c>
      <c r="K39" s="16"/>
    </row>
    <row r="40" customFormat="false" ht="15" hidden="false" customHeight="false" outlineLevel="0" collapsed="false">
      <c r="A40" s="16"/>
      <c r="B40" s="16"/>
      <c r="C40" s="16"/>
      <c r="D40" s="16"/>
      <c r="E40" s="16"/>
      <c r="F40" s="17"/>
      <c r="G40" s="16"/>
      <c r="H40" s="16"/>
      <c r="I40" s="17"/>
      <c r="J40" s="16" t="str">
        <f aca="true">IF(F40="","",IF(I40&lt;&gt;"",I40-F40,TODAY()-F40))</f>
        <v/>
      </c>
      <c r="K40" s="16"/>
    </row>
    <row r="41" customFormat="false" ht="15" hidden="false" customHeight="false" outlineLevel="0" collapsed="false">
      <c r="A41" s="16"/>
      <c r="B41" s="16"/>
      <c r="C41" s="16"/>
      <c r="D41" s="16"/>
      <c r="E41" s="16"/>
      <c r="F41" s="17"/>
      <c r="G41" s="16"/>
      <c r="H41" s="16"/>
      <c r="I41" s="17"/>
      <c r="J41" s="16" t="str">
        <f aca="true">IF(F41="","",IF(I41&lt;&gt;"",I41-F41,TODAY()-F41))</f>
        <v/>
      </c>
      <c r="K41" s="16"/>
    </row>
    <row r="42" customFormat="false" ht="15" hidden="false" customHeight="false" outlineLevel="0" collapsed="false">
      <c r="A42" s="16"/>
      <c r="B42" s="16"/>
      <c r="C42" s="16"/>
      <c r="D42" s="16"/>
      <c r="E42" s="16"/>
      <c r="F42" s="17"/>
      <c r="G42" s="16"/>
      <c r="H42" s="16"/>
      <c r="I42" s="17"/>
      <c r="J42" s="16" t="str">
        <f aca="true">IF(F42="","",IF(I42&lt;&gt;"",I42-F42,TODAY()-F42))</f>
        <v/>
      </c>
      <c r="K42" s="16"/>
    </row>
    <row r="43" customFormat="false" ht="15" hidden="false" customHeight="false" outlineLevel="0" collapsed="false">
      <c r="A43" s="16"/>
      <c r="B43" s="16"/>
      <c r="C43" s="16"/>
      <c r="D43" s="16"/>
      <c r="E43" s="16"/>
      <c r="F43" s="17"/>
      <c r="G43" s="16"/>
      <c r="H43" s="16"/>
      <c r="I43" s="17"/>
      <c r="J43" s="16" t="str">
        <f aca="true">IF(F43="","",IF(I43&lt;&gt;"",I43-F43,TODAY()-F43))</f>
        <v/>
      </c>
      <c r="K43" s="16"/>
    </row>
    <row r="44" customFormat="false" ht="15" hidden="false" customHeight="false" outlineLevel="0" collapsed="false">
      <c r="A44" s="16"/>
      <c r="B44" s="16"/>
      <c r="C44" s="16"/>
      <c r="D44" s="16"/>
      <c r="E44" s="16"/>
      <c r="F44" s="17"/>
      <c r="G44" s="16"/>
      <c r="H44" s="16"/>
      <c r="I44" s="17"/>
      <c r="J44" s="16" t="str">
        <f aca="true">IF(F44="","",IF(I44&lt;&gt;"",I44-F44,TODAY()-F44))</f>
        <v/>
      </c>
      <c r="K44" s="16"/>
    </row>
    <row r="45" customFormat="false" ht="15" hidden="false" customHeight="false" outlineLevel="0" collapsed="false">
      <c r="A45" s="16"/>
      <c r="B45" s="16"/>
      <c r="C45" s="16"/>
      <c r="D45" s="16"/>
      <c r="E45" s="16"/>
      <c r="F45" s="17"/>
      <c r="G45" s="16"/>
      <c r="H45" s="16"/>
      <c r="I45" s="17"/>
      <c r="J45" s="16" t="str">
        <f aca="true">IF(F45="","",IF(I45&lt;&gt;"",I45-F45,TODAY()-F45))</f>
        <v/>
      </c>
      <c r="K45" s="16"/>
    </row>
    <row r="46" customFormat="false" ht="15" hidden="false" customHeight="false" outlineLevel="0" collapsed="false">
      <c r="A46" s="16"/>
      <c r="B46" s="16"/>
      <c r="C46" s="16"/>
      <c r="D46" s="16"/>
      <c r="E46" s="16"/>
      <c r="F46" s="17"/>
      <c r="G46" s="16"/>
      <c r="H46" s="16"/>
      <c r="I46" s="17"/>
      <c r="J46" s="16" t="str">
        <f aca="true">IF(F46="","",IF(I46&lt;&gt;"",I46-F46,TODAY()-F46))</f>
        <v/>
      </c>
      <c r="K46" s="16"/>
    </row>
    <row r="47" customFormat="false" ht="15" hidden="false" customHeight="false" outlineLevel="0" collapsed="false">
      <c r="A47" s="16"/>
      <c r="B47" s="16"/>
      <c r="C47" s="16"/>
      <c r="D47" s="16"/>
      <c r="E47" s="16"/>
      <c r="F47" s="17"/>
      <c r="G47" s="16"/>
      <c r="H47" s="16"/>
      <c r="I47" s="17"/>
      <c r="J47" s="16" t="str">
        <f aca="true">IF(F47="","",IF(I47&lt;&gt;"",I47-F47,TODAY()-F47))</f>
        <v/>
      </c>
      <c r="K47" s="16"/>
    </row>
    <row r="48" customFormat="false" ht="15" hidden="false" customHeight="false" outlineLevel="0" collapsed="false">
      <c r="A48" s="16"/>
      <c r="B48" s="16"/>
      <c r="C48" s="16"/>
      <c r="D48" s="16"/>
      <c r="E48" s="16"/>
      <c r="F48" s="17"/>
      <c r="G48" s="16"/>
      <c r="H48" s="16"/>
      <c r="I48" s="17"/>
      <c r="J48" s="16" t="str">
        <f aca="true">IF(F48="","",IF(I48&lt;&gt;"",I48-F48,TODAY()-F48))</f>
        <v/>
      </c>
      <c r="K48" s="16"/>
    </row>
    <row r="49" customFormat="false" ht="15" hidden="false" customHeight="false" outlineLevel="0" collapsed="false">
      <c r="A49" s="16"/>
      <c r="B49" s="16"/>
      <c r="C49" s="16"/>
      <c r="D49" s="16"/>
      <c r="E49" s="16"/>
      <c r="F49" s="17"/>
      <c r="G49" s="16"/>
      <c r="H49" s="16"/>
      <c r="I49" s="17"/>
      <c r="J49" s="16" t="str">
        <f aca="true">IF(F49="","",IF(I49&lt;&gt;"",I49-F49,TODAY()-F49))</f>
        <v/>
      </c>
      <c r="K49" s="16"/>
    </row>
    <row r="50" customFormat="false" ht="15" hidden="false" customHeight="false" outlineLevel="0" collapsed="false">
      <c r="A50" s="16"/>
      <c r="B50" s="16"/>
      <c r="C50" s="16"/>
      <c r="D50" s="16"/>
      <c r="E50" s="16"/>
      <c r="F50" s="17"/>
      <c r="G50" s="16"/>
      <c r="H50" s="16"/>
      <c r="I50" s="17"/>
      <c r="J50" s="16" t="str">
        <f aca="true">IF(F50="","",IF(I50&lt;&gt;"",I50-F50,TODAY()-F50))</f>
        <v/>
      </c>
      <c r="K50" s="16"/>
    </row>
    <row r="51" customFormat="false" ht="15" hidden="false" customHeight="false" outlineLevel="0" collapsed="false">
      <c r="A51" s="16"/>
      <c r="B51" s="16"/>
      <c r="C51" s="16"/>
      <c r="D51" s="16"/>
      <c r="E51" s="16"/>
      <c r="F51" s="17"/>
      <c r="G51" s="16"/>
      <c r="H51" s="16"/>
      <c r="I51" s="17"/>
      <c r="J51" s="16" t="str">
        <f aca="true">IF(F51="","",IF(I51&lt;&gt;"",I51-F51,TODAY()-F51))</f>
        <v/>
      </c>
      <c r="K51" s="16"/>
    </row>
    <row r="52" customFormat="false" ht="15" hidden="false" customHeight="false" outlineLevel="0" collapsed="false">
      <c r="A52" s="16"/>
      <c r="B52" s="16"/>
      <c r="C52" s="16"/>
      <c r="D52" s="16"/>
      <c r="E52" s="16"/>
      <c r="F52" s="17"/>
      <c r="G52" s="16"/>
      <c r="H52" s="16"/>
      <c r="I52" s="17"/>
      <c r="J52" s="16" t="str">
        <f aca="true">IF(F52="","",IF(I52&lt;&gt;"",I52-F52,TODAY()-F52))</f>
        <v/>
      </c>
      <c r="K52" s="16"/>
    </row>
    <row r="53" customFormat="false" ht="15" hidden="false" customHeight="false" outlineLevel="0" collapsed="false">
      <c r="A53" s="16"/>
      <c r="B53" s="16"/>
      <c r="C53" s="16"/>
      <c r="D53" s="16"/>
      <c r="E53" s="16"/>
      <c r="F53" s="17"/>
      <c r="G53" s="16"/>
      <c r="H53" s="16"/>
      <c r="I53" s="17"/>
      <c r="J53" s="16" t="str">
        <f aca="true">IF(F53="","",IF(I53&lt;&gt;"",I53-F53,TODAY()-F53))</f>
        <v/>
      </c>
      <c r="K53" s="16"/>
    </row>
    <row r="54" customFormat="false" ht="15" hidden="false" customHeight="false" outlineLevel="0" collapsed="false">
      <c r="A54" s="16"/>
      <c r="B54" s="16"/>
      <c r="C54" s="16"/>
      <c r="D54" s="16"/>
      <c r="E54" s="16"/>
      <c r="F54" s="17"/>
      <c r="G54" s="16"/>
      <c r="H54" s="16"/>
      <c r="I54" s="17"/>
      <c r="J54" s="16" t="str">
        <f aca="true">IF(F54="","",IF(I54&lt;&gt;"",I54-F54,TODAY()-F54))</f>
        <v/>
      </c>
      <c r="K54" s="16"/>
    </row>
    <row r="55" customFormat="false" ht="15" hidden="false" customHeight="false" outlineLevel="0" collapsed="false">
      <c r="A55" s="16"/>
      <c r="B55" s="16"/>
      <c r="C55" s="16"/>
      <c r="D55" s="16"/>
      <c r="E55" s="16"/>
      <c r="F55" s="17"/>
      <c r="G55" s="16"/>
      <c r="H55" s="16"/>
      <c r="I55" s="17"/>
      <c r="J55" s="16" t="str">
        <f aca="true">IF(F55="","",IF(I55&lt;&gt;"",I55-F55,TODAY()-F55))</f>
        <v/>
      </c>
      <c r="K55" s="16"/>
    </row>
    <row r="56" customFormat="false" ht="15" hidden="false" customHeight="false" outlineLevel="0" collapsed="false">
      <c r="A56" s="16"/>
      <c r="B56" s="16"/>
      <c r="C56" s="16"/>
      <c r="D56" s="16"/>
      <c r="E56" s="16"/>
      <c r="F56" s="17"/>
      <c r="G56" s="16"/>
      <c r="H56" s="16"/>
      <c r="I56" s="17"/>
      <c r="J56" s="16" t="str">
        <f aca="true">IF(F56="","",IF(I56&lt;&gt;"",I56-F56,TODAY()-F56))</f>
        <v/>
      </c>
      <c r="K56" s="16"/>
    </row>
    <row r="57" customFormat="false" ht="15" hidden="false" customHeight="false" outlineLevel="0" collapsed="false">
      <c r="A57" s="16"/>
      <c r="B57" s="16"/>
      <c r="C57" s="16"/>
      <c r="D57" s="16"/>
      <c r="E57" s="16"/>
      <c r="F57" s="17"/>
      <c r="G57" s="16"/>
      <c r="H57" s="16"/>
      <c r="I57" s="17"/>
      <c r="J57" s="16" t="str">
        <f aca="true">IF(F57="","",IF(I57&lt;&gt;"",I57-F57,TODAY()-F57))</f>
        <v/>
      </c>
      <c r="K57" s="16"/>
    </row>
    <row r="58" customFormat="false" ht="15" hidden="false" customHeight="false" outlineLevel="0" collapsed="false">
      <c r="A58" s="16"/>
      <c r="B58" s="16"/>
      <c r="C58" s="16"/>
      <c r="D58" s="16"/>
      <c r="E58" s="16"/>
      <c r="F58" s="17"/>
      <c r="G58" s="16"/>
      <c r="H58" s="16"/>
      <c r="I58" s="17"/>
      <c r="J58" s="16" t="str">
        <f aca="true">IF(F58="","",IF(I58&lt;&gt;"",I58-F58,TODAY()-F58))</f>
        <v/>
      </c>
      <c r="K58" s="16"/>
    </row>
    <row r="59" customFormat="false" ht="15" hidden="false" customHeight="false" outlineLevel="0" collapsed="false">
      <c r="A59" s="16"/>
      <c r="B59" s="16"/>
      <c r="C59" s="16"/>
      <c r="D59" s="16"/>
      <c r="E59" s="16"/>
      <c r="F59" s="17"/>
      <c r="G59" s="16"/>
      <c r="H59" s="16"/>
      <c r="I59" s="17"/>
      <c r="J59" s="16" t="str">
        <f aca="true">IF(F59="","",IF(I59&lt;&gt;"",I59-F59,TODAY()-F59))</f>
        <v/>
      </c>
      <c r="K59" s="16"/>
    </row>
    <row r="60" customFormat="false" ht="15" hidden="false" customHeight="false" outlineLevel="0" collapsed="false">
      <c r="A60" s="16"/>
      <c r="B60" s="16"/>
      <c r="C60" s="16"/>
      <c r="D60" s="16"/>
      <c r="E60" s="16"/>
      <c r="F60" s="17"/>
      <c r="G60" s="16"/>
      <c r="H60" s="16"/>
      <c r="I60" s="17"/>
      <c r="J60" s="16" t="str">
        <f aca="true">IF(F60="","",IF(I60&lt;&gt;"",I60-F60,TODAY()-F60))</f>
        <v/>
      </c>
      <c r="K60" s="16"/>
    </row>
    <row r="61" customFormat="false" ht="15" hidden="false" customHeight="false" outlineLevel="0" collapsed="false">
      <c r="A61" s="16"/>
      <c r="B61" s="16"/>
      <c r="C61" s="16"/>
      <c r="D61" s="16"/>
      <c r="E61" s="16"/>
      <c r="F61" s="17"/>
      <c r="G61" s="16"/>
      <c r="H61" s="16"/>
      <c r="I61" s="17"/>
      <c r="J61" s="16" t="str">
        <f aca="true">IF(F61="","",IF(I61&lt;&gt;"",I61-F61,TODAY()-F61))</f>
        <v/>
      </c>
      <c r="K61" s="16"/>
    </row>
    <row r="62" customFormat="false" ht="15" hidden="false" customHeight="false" outlineLevel="0" collapsed="false">
      <c r="A62" s="16"/>
      <c r="B62" s="16"/>
      <c r="C62" s="16"/>
      <c r="D62" s="16"/>
      <c r="E62" s="16"/>
      <c r="F62" s="17"/>
      <c r="G62" s="16"/>
      <c r="H62" s="16"/>
      <c r="I62" s="17"/>
      <c r="J62" s="16" t="str">
        <f aca="true">IF(F62="","",IF(I62&lt;&gt;"",I62-F62,TODAY()-F62))</f>
        <v/>
      </c>
      <c r="K62" s="16"/>
    </row>
    <row r="63" customFormat="false" ht="15" hidden="false" customHeight="false" outlineLevel="0" collapsed="false">
      <c r="A63" s="16"/>
      <c r="B63" s="16"/>
      <c r="C63" s="16"/>
      <c r="D63" s="16"/>
      <c r="E63" s="16"/>
      <c r="F63" s="17"/>
      <c r="G63" s="16"/>
      <c r="H63" s="16"/>
      <c r="I63" s="17"/>
      <c r="J63" s="16" t="str">
        <f aca="true">IF(F63="","",IF(I63&lt;&gt;"",I63-F63,TODAY()-F63))</f>
        <v/>
      </c>
      <c r="K63" s="16"/>
    </row>
    <row r="64" customFormat="false" ht="15" hidden="false" customHeight="false" outlineLevel="0" collapsed="false">
      <c r="A64" s="16"/>
      <c r="B64" s="16"/>
      <c r="C64" s="16"/>
      <c r="D64" s="16"/>
      <c r="E64" s="16"/>
      <c r="F64" s="17"/>
      <c r="G64" s="16"/>
      <c r="H64" s="16"/>
      <c r="I64" s="17"/>
      <c r="J64" s="16" t="str">
        <f aca="true">IF(F64="","",IF(I64&lt;&gt;"",I64-F64,TODAY()-F64))</f>
        <v/>
      </c>
      <c r="K64" s="16"/>
    </row>
    <row r="65" customFormat="false" ht="15" hidden="false" customHeight="false" outlineLevel="0" collapsed="false">
      <c r="A65" s="16"/>
      <c r="B65" s="16"/>
      <c r="C65" s="16"/>
      <c r="D65" s="16"/>
      <c r="E65" s="16"/>
      <c r="F65" s="17"/>
      <c r="G65" s="16"/>
      <c r="H65" s="16"/>
      <c r="I65" s="17"/>
      <c r="J65" s="16" t="str">
        <f aca="true">IF(F65="","",IF(I65&lt;&gt;"",I65-F65,TODAY()-F65))</f>
        <v/>
      </c>
      <c r="K65" s="16"/>
    </row>
    <row r="66" customFormat="false" ht="15" hidden="false" customHeight="false" outlineLevel="0" collapsed="false">
      <c r="A66" s="16"/>
      <c r="B66" s="16"/>
      <c r="C66" s="16"/>
      <c r="D66" s="16"/>
      <c r="E66" s="16"/>
      <c r="F66" s="17"/>
      <c r="G66" s="16"/>
      <c r="H66" s="16"/>
      <c r="I66" s="17"/>
      <c r="J66" s="16" t="str">
        <f aca="true">IF(F66="","",IF(I66&lt;&gt;"",I66-F66,TODAY()-F66))</f>
        <v/>
      </c>
      <c r="K66" s="16"/>
    </row>
    <row r="67" customFormat="false" ht="15" hidden="false" customHeight="false" outlineLevel="0" collapsed="false">
      <c r="A67" s="16"/>
      <c r="B67" s="16"/>
      <c r="C67" s="16"/>
      <c r="D67" s="16"/>
      <c r="E67" s="16"/>
      <c r="F67" s="17"/>
      <c r="G67" s="16"/>
      <c r="H67" s="16"/>
      <c r="I67" s="17"/>
      <c r="J67" s="16" t="str">
        <f aca="true">IF(F67="","",IF(I67&lt;&gt;"",I67-F67,TODAY()-F67))</f>
        <v/>
      </c>
      <c r="K67" s="16"/>
    </row>
    <row r="68" customFormat="false" ht="15" hidden="false" customHeight="false" outlineLevel="0" collapsed="false">
      <c r="A68" s="16"/>
      <c r="B68" s="16"/>
      <c r="C68" s="16"/>
      <c r="D68" s="16"/>
      <c r="E68" s="16"/>
      <c r="F68" s="17"/>
      <c r="G68" s="16"/>
      <c r="H68" s="16"/>
      <c r="I68" s="17"/>
      <c r="J68" s="16" t="str">
        <f aca="true">IF(F68="","",IF(I68&lt;&gt;"",I68-F68,TODAY()-F68))</f>
        <v/>
      </c>
      <c r="K68" s="16"/>
    </row>
    <row r="69" customFormat="false" ht="15" hidden="false" customHeight="false" outlineLevel="0" collapsed="false">
      <c r="A69" s="16"/>
      <c r="B69" s="16"/>
      <c r="C69" s="16"/>
      <c r="D69" s="16"/>
      <c r="E69" s="16"/>
      <c r="F69" s="17"/>
      <c r="G69" s="16"/>
      <c r="H69" s="16"/>
      <c r="I69" s="17"/>
      <c r="J69" s="16" t="str">
        <f aca="true">IF(F69="","",IF(I69&lt;&gt;"",I69-F69,TODAY()-F69))</f>
        <v/>
      </c>
      <c r="K69" s="16"/>
    </row>
    <row r="70" customFormat="false" ht="15" hidden="false" customHeight="false" outlineLevel="0" collapsed="false">
      <c r="A70" s="16"/>
      <c r="B70" s="16"/>
      <c r="C70" s="16"/>
      <c r="D70" s="16"/>
      <c r="E70" s="16"/>
      <c r="F70" s="17"/>
      <c r="G70" s="16"/>
      <c r="H70" s="16"/>
      <c r="I70" s="17"/>
      <c r="J70" s="16" t="str">
        <f aca="true">IF(F70="","",IF(I70&lt;&gt;"",I70-F70,TODAY()-F70))</f>
        <v/>
      </c>
      <c r="K70" s="16"/>
    </row>
    <row r="71" customFormat="false" ht="15" hidden="false" customHeight="false" outlineLevel="0" collapsed="false">
      <c r="A71" s="16"/>
      <c r="B71" s="16"/>
      <c r="C71" s="16"/>
      <c r="D71" s="16"/>
      <c r="E71" s="16"/>
      <c r="F71" s="17"/>
      <c r="G71" s="16"/>
      <c r="H71" s="16"/>
      <c r="I71" s="17"/>
      <c r="J71" s="16" t="str">
        <f aca="true">IF(F71="","",IF(I71&lt;&gt;"",I71-F71,TODAY()-F71))</f>
        <v/>
      </c>
      <c r="K71" s="16"/>
    </row>
    <row r="72" customFormat="false" ht="15" hidden="false" customHeight="false" outlineLevel="0" collapsed="false">
      <c r="A72" s="16"/>
      <c r="B72" s="16"/>
      <c r="C72" s="16"/>
      <c r="D72" s="16"/>
      <c r="E72" s="16"/>
      <c r="F72" s="17"/>
      <c r="G72" s="16"/>
      <c r="H72" s="16"/>
      <c r="I72" s="17"/>
      <c r="J72" s="16" t="str">
        <f aca="true">IF(F72="","",IF(I72&lt;&gt;"",I72-F72,TODAY()-F72))</f>
        <v/>
      </c>
      <c r="K72" s="16"/>
    </row>
    <row r="73" customFormat="false" ht="15" hidden="false" customHeight="false" outlineLevel="0" collapsed="false">
      <c r="A73" s="16"/>
      <c r="B73" s="16"/>
      <c r="C73" s="16"/>
      <c r="D73" s="16"/>
      <c r="E73" s="16"/>
      <c r="F73" s="17"/>
      <c r="G73" s="16"/>
      <c r="H73" s="16"/>
      <c r="I73" s="17"/>
      <c r="J73" s="16" t="str">
        <f aca="true">IF(F73="","",IF(I73&lt;&gt;"",I73-F73,TODAY()-F73))</f>
        <v/>
      </c>
      <c r="K73" s="16"/>
    </row>
    <row r="74" customFormat="false" ht="15" hidden="false" customHeight="false" outlineLevel="0" collapsed="false">
      <c r="A74" s="16"/>
      <c r="B74" s="16"/>
      <c r="C74" s="16"/>
      <c r="D74" s="16"/>
      <c r="E74" s="16"/>
      <c r="F74" s="17"/>
      <c r="G74" s="16"/>
      <c r="H74" s="16"/>
      <c r="I74" s="17"/>
      <c r="J74" s="16" t="str">
        <f aca="true">IF(F74="","",IF(I74&lt;&gt;"",I74-F74,TODAY()-F74))</f>
        <v/>
      </c>
      <c r="K74" s="16"/>
    </row>
    <row r="75" customFormat="false" ht="15" hidden="false" customHeight="false" outlineLevel="0" collapsed="false">
      <c r="A75" s="16"/>
      <c r="B75" s="16"/>
      <c r="C75" s="16"/>
      <c r="D75" s="16"/>
      <c r="E75" s="16"/>
      <c r="F75" s="17"/>
      <c r="G75" s="16"/>
      <c r="H75" s="16"/>
      <c r="I75" s="17"/>
      <c r="J75" s="16" t="str">
        <f aca="true">IF(F75="","",IF(I75&lt;&gt;"",I75-F75,TODAY()-F75))</f>
        <v/>
      </c>
      <c r="K75" s="16"/>
    </row>
    <row r="76" customFormat="false" ht="15" hidden="false" customHeight="false" outlineLevel="0" collapsed="false">
      <c r="A76" s="16"/>
      <c r="B76" s="16"/>
      <c r="C76" s="16"/>
      <c r="D76" s="16"/>
      <c r="E76" s="16"/>
      <c r="F76" s="17"/>
      <c r="G76" s="16"/>
      <c r="H76" s="16"/>
      <c r="I76" s="17"/>
      <c r="J76" s="16" t="str">
        <f aca="true">IF(F76="","",IF(I76&lt;&gt;"",I76-F76,TODAY()-F76))</f>
        <v/>
      </c>
      <c r="K76" s="16"/>
    </row>
    <row r="77" customFormat="false" ht="15" hidden="false" customHeight="false" outlineLevel="0" collapsed="false">
      <c r="A77" s="16"/>
      <c r="B77" s="16"/>
      <c r="C77" s="16"/>
      <c r="D77" s="16"/>
      <c r="E77" s="16"/>
      <c r="F77" s="17"/>
      <c r="G77" s="16"/>
      <c r="H77" s="16"/>
      <c r="I77" s="17"/>
      <c r="J77" s="16" t="str">
        <f aca="true">IF(F77="","",IF(I77&lt;&gt;"",I77-F77,TODAY()-F77))</f>
        <v/>
      </c>
      <c r="K77" s="16"/>
    </row>
    <row r="78" customFormat="false" ht="15" hidden="false" customHeight="false" outlineLevel="0" collapsed="false">
      <c r="A78" s="16"/>
      <c r="B78" s="16"/>
      <c r="C78" s="16"/>
      <c r="D78" s="16"/>
      <c r="E78" s="16"/>
      <c r="F78" s="17"/>
      <c r="G78" s="16"/>
      <c r="H78" s="16"/>
      <c r="I78" s="17"/>
      <c r="J78" s="16" t="str">
        <f aca="true">IF(F78="","",IF(I78&lt;&gt;"",I78-F78,TODAY()-F78))</f>
        <v/>
      </c>
      <c r="K78" s="16"/>
    </row>
    <row r="79" customFormat="false" ht="15" hidden="false" customHeight="false" outlineLevel="0" collapsed="false">
      <c r="A79" s="16"/>
      <c r="B79" s="16"/>
      <c r="C79" s="16"/>
      <c r="D79" s="16"/>
      <c r="E79" s="16"/>
      <c r="F79" s="17"/>
      <c r="G79" s="16"/>
      <c r="H79" s="16"/>
      <c r="I79" s="17"/>
      <c r="J79" s="16" t="str">
        <f aca="true">IF(F79="","",IF(I79&lt;&gt;"",I79-F79,TODAY()-F79))</f>
        <v/>
      </c>
      <c r="K79" s="16"/>
    </row>
    <row r="80" customFormat="false" ht="15" hidden="false" customHeight="false" outlineLevel="0" collapsed="false">
      <c r="A80" s="16"/>
      <c r="B80" s="16"/>
      <c r="C80" s="16"/>
      <c r="D80" s="16"/>
      <c r="E80" s="16"/>
      <c r="F80" s="17"/>
      <c r="G80" s="16"/>
      <c r="H80" s="16"/>
      <c r="I80" s="17"/>
      <c r="J80" s="16" t="str">
        <f aca="true">IF(F80="","",IF(I80&lt;&gt;"",I80-F80,TODAY()-F80))</f>
        <v/>
      </c>
      <c r="K80" s="16"/>
    </row>
    <row r="81" customFormat="false" ht="15" hidden="false" customHeight="false" outlineLevel="0" collapsed="false">
      <c r="A81" s="16"/>
      <c r="B81" s="16"/>
      <c r="C81" s="16"/>
      <c r="D81" s="16"/>
      <c r="E81" s="16"/>
      <c r="F81" s="17"/>
      <c r="G81" s="16"/>
      <c r="H81" s="16"/>
      <c r="I81" s="17"/>
      <c r="J81" s="16" t="str">
        <f aca="true">IF(F81="","",IF(I81&lt;&gt;"",I81-F81,TODAY()-F81))</f>
        <v/>
      </c>
      <c r="K81" s="16"/>
    </row>
    <row r="82" customFormat="false" ht="15" hidden="false" customHeight="false" outlineLevel="0" collapsed="false">
      <c r="A82" s="16"/>
      <c r="B82" s="16"/>
      <c r="C82" s="16"/>
      <c r="D82" s="16"/>
      <c r="E82" s="16"/>
      <c r="F82" s="17"/>
      <c r="G82" s="16"/>
      <c r="H82" s="16"/>
      <c r="I82" s="17"/>
      <c r="J82" s="16" t="str">
        <f aca="true">IF(F82="","",IF(I82&lt;&gt;"",I82-F82,TODAY()-F82))</f>
        <v/>
      </c>
      <c r="K82" s="16"/>
    </row>
    <row r="83" customFormat="false" ht="15" hidden="false" customHeight="false" outlineLevel="0" collapsed="false">
      <c r="A83" s="16"/>
      <c r="B83" s="16"/>
      <c r="C83" s="16"/>
      <c r="D83" s="16"/>
      <c r="E83" s="16"/>
      <c r="F83" s="17"/>
      <c r="G83" s="16"/>
      <c r="H83" s="16"/>
      <c r="I83" s="17"/>
      <c r="J83" s="16" t="str">
        <f aca="true">IF(F83="","",IF(I83&lt;&gt;"",I83-F83,TODAY()-F83))</f>
        <v/>
      </c>
      <c r="K83" s="16"/>
    </row>
    <row r="84" customFormat="false" ht="15" hidden="false" customHeight="false" outlineLevel="0" collapsed="false">
      <c r="A84" s="16"/>
      <c r="B84" s="16"/>
      <c r="C84" s="16"/>
      <c r="D84" s="16"/>
      <c r="E84" s="16"/>
      <c r="F84" s="17"/>
      <c r="G84" s="16"/>
      <c r="H84" s="16"/>
      <c r="I84" s="17"/>
      <c r="J84" s="16" t="str">
        <f aca="true">IF(F84="","",IF(I84&lt;&gt;"",I84-F84,TODAY()-F84))</f>
        <v/>
      </c>
      <c r="K84" s="16"/>
    </row>
    <row r="85" customFormat="false" ht="15" hidden="false" customHeight="false" outlineLevel="0" collapsed="false">
      <c r="A85" s="16"/>
      <c r="B85" s="16"/>
      <c r="C85" s="16"/>
      <c r="D85" s="16"/>
      <c r="E85" s="16"/>
      <c r="F85" s="17"/>
      <c r="G85" s="16"/>
      <c r="H85" s="16"/>
      <c r="I85" s="17"/>
      <c r="J85" s="16" t="str">
        <f aca="true">IF(F85="","",IF(I85&lt;&gt;"",I85-F85,TODAY()-F85))</f>
        <v/>
      </c>
      <c r="K85" s="16"/>
    </row>
    <row r="86" customFormat="false" ht="15" hidden="false" customHeight="false" outlineLevel="0" collapsed="false">
      <c r="A86" s="16"/>
      <c r="B86" s="16"/>
      <c r="C86" s="16"/>
      <c r="D86" s="16"/>
      <c r="E86" s="16"/>
      <c r="F86" s="17"/>
      <c r="G86" s="16"/>
      <c r="H86" s="16"/>
      <c r="I86" s="17"/>
      <c r="J86" s="16" t="str">
        <f aca="true">IF(F86="","",IF(I86&lt;&gt;"",I86-F86,TODAY()-F86))</f>
        <v/>
      </c>
      <c r="K86" s="16"/>
    </row>
    <row r="87" customFormat="false" ht="15" hidden="false" customHeight="false" outlineLevel="0" collapsed="false">
      <c r="A87" s="16"/>
      <c r="B87" s="16"/>
      <c r="C87" s="16"/>
      <c r="D87" s="16"/>
      <c r="E87" s="16"/>
      <c r="F87" s="17"/>
      <c r="G87" s="16"/>
      <c r="H87" s="16"/>
      <c r="I87" s="17"/>
      <c r="J87" s="16" t="str">
        <f aca="true">IF(F87="","",IF(I87&lt;&gt;"",I87-F87,TODAY()-F87))</f>
        <v/>
      </c>
      <c r="K87" s="16"/>
    </row>
    <row r="88" customFormat="false" ht="15" hidden="false" customHeight="false" outlineLevel="0" collapsed="false">
      <c r="A88" s="16"/>
      <c r="B88" s="16"/>
      <c r="C88" s="16"/>
      <c r="D88" s="16"/>
      <c r="E88" s="16"/>
      <c r="F88" s="17"/>
      <c r="G88" s="16"/>
      <c r="H88" s="16"/>
      <c r="I88" s="17"/>
      <c r="J88" s="16" t="str">
        <f aca="true">IF(F88="","",IF(I88&lt;&gt;"",I88-F88,TODAY()-F88))</f>
        <v/>
      </c>
      <c r="K88" s="16"/>
    </row>
    <row r="89" customFormat="false" ht="15" hidden="false" customHeight="false" outlineLevel="0" collapsed="false">
      <c r="A89" s="16"/>
      <c r="B89" s="16"/>
      <c r="C89" s="16"/>
      <c r="D89" s="16"/>
      <c r="E89" s="16"/>
      <c r="F89" s="17"/>
      <c r="G89" s="16"/>
      <c r="H89" s="16"/>
      <c r="I89" s="17"/>
      <c r="J89" s="16" t="str">
        <f aca="true">IF(F89="","",IF(I89&lt;&gt;"",I89-F89,TODAY()-F89))</f>
        <v/>
      </c>
      <c r="K89" s="16"/>
    </row>
    <row r="90" customFormat="false" ht="15" hidden="false" customHeight="false" outlineLevel="0" collapsed="false">
      <c r="A90" s="16"/>
      <c r="B90" s="16"/>
      <c r="C90" s="16"/>
      <c r="D90" s="16"/>
      <c r="E90" s="16"/>
      <c r="F90" s="17"/>
      <c r="G90" s="16"/>
      <c r="H90" s="16"/>
      <c r="I90" s="17"/>
      <c r="J90" s="16" t="str">
        <f aca="true">IF(F90="","",IF(I90&lt;&gt;"",I90-F90,TODAY()-F90))</f>
        <v/>
      </c>
      <c r="K90" s="16"/>
    </row>
    <row r="91" customFormat="false" ht="15" hidden="false" customHeight="false" outlineLevel="0" collapsed="false">
      <c r="A91" s="16"/>
      <c r="B91" s="16"/>
      <c r="C91" s="16"/>
      <c r="D91" s="16"/>
      <c r="E91" s="16"/>
      <c r="F91" s="17"/>
      <c r="G91" s="16"/>
      <c r="H91" s="16"/>
      <c r="I91" s="17"/>
      <c r="J91" s="16" t="str">
        <f aca="true">IF(F91="","",IF(I91&lt;&gt;"",I91-F91,TODAY()-F91))</f>
        <v/>
      </c>
      <c r="K91" s="16"/>
    </row>
    <row r="92" customFormat="false" ht="15" hidden="false" customHeight="false" outlineLevel="0" collapsed="false">
      <c r="A92" s="16"/>
      <c r="B92" s="16"/>
      <c r="C92" s="16"/>
      <c r="D92" s="16"/>
      <c r="E92" s="16"/>
      <c r="F92" s="17"/>
      <c r="G92" s="16"/>
      <c r="H92" s="16"/>
      <c r="I92" s="17"/>
      <c r="J92" s="16" t="str">
        <f aca="true">IF(F92="","",IF(I92&lt;&gt;"",I92-F92,TODAY()-F92))</f>
        <v/>
      </c>
      <c r="K92" s="16"/>
    </row>
    <row r="93" customFormat="false" ht="15" hidden="false" customHeight="false" outlineLevel="0" collapsed="false">
      <c r="A93" s="16"/>
      <c r="B93" s="16"/>
      <c r="C93" s="16"/>
      <c r="D93" s="16"/>
      <c r="E93" s="16"/>
      <c r="F93" s="17"/>
      <c r="G93" s="16"/>
      <c r="H93" s="16"/>
      <c r="I93" s="17"/>
      <c r="J93" s="16" t="str">
        <f aca="true">IF(F93="","",IF(I93&lt;&gt;"",I93-F93,TODAY()-F93))</f>
        <v/>
      </c>
      <c r="K93" s="16"/>
    </row>
    <row r="94" customFormat="false" ht="15" hidden="false" customHeight="false" outlineLevel="0" collapsed="false">
      <c r="A94" s="16"/>
      <c r="B94" s="16"/>
      <c r="C94" s="16"/>
      <c r="D94" s="16"/>
      <c r="E94" s="16"/>
      <c r="F94" s="17"/>
      <c r="G94" s="16"/>
      <c r="H94" s="16"/>
      <c r="I94" s="17"/>
      <c r="J94" s="16" t="str">
        <f aca="true">IF(F94="","",IF(I94&lt;&gt;"",I94-F94,TODAY()-F94))</f>
        <v/>
      </c>
      <c r="K94" s="16"/>
    </row>
    <row r="95" customFormat="false" ht="15" hidden="false" customHeight="false" outlineLevel="0" collapsed="false">
      <c r="A95" s="16"/>
      <c r="B95" s="16"/>
      <c r="C95" s="16"/>
      <c r="D95" s="16"/>
      <c r="E95" s="16"/>
      <c r="F95" s="17"/>
      <c r="G95" s="16"/>
      <c r="H95" s="16"/>
      <c r="I95" s="17"/>
      <c r="J95" s="16" t="str">
        <f aca="true">IF(F95="","",IF(I95&lt;&gt;"",I95-F95,TODAY()-F95))</f>
        <v/>
      </c>
      <c r="K95" s="16"/>
    </row>
    <row r="96" customFormat="false" ht="15" hidden="false" customHeight="false" outlineLevel="0" collapsed="false">
      <c r="A96" s="16"/>
      <c r="B96" s="16"/>
      <c r="C96" s="16"/>
      <c r="D96" s="16"/>
      <c r="E96" s="16"/>
      <c r="F96" s="17"/>
      <c r="G96" s="16"/>
      <c r="H96" s="16"/>
      <c r="I96" s="17"/>
      <c r="J96" s="16" t="str">
        <f aca="true">IF(F96="","",IF(I96&lt;&gt;"",I96-F96,TODAY()-F96))</f>
        <v/>
      </c>
      <c r="K96" s="16"/>
    </row>
    <row r="97" customFormat="false" ht="15" hidden="false" customHeight="false" outlineLevel="0" collapsed="false">
      <c r="A97" s="16"/>
      <c r="B97" s="16"/>
      <c r="C97" s="16"/>
      <c r="D97" s="16"/>
      <c r="E97" s="16"/>
      <c r="F97" s="17"/>
      <c r="G97" s="16"/>
      <c r="H97" s="16"/>
      <c r="I97" s="17"/>
      <c r="J97" s="16" t="str">
        <f aca="true">IF(F97="","",IF(I97&lt;&gt;"",I97-F97,TODAY()-F97))</f>
        <v/>
      </c>
      <c r="K97" s="16"/>
    </row>
    <row r="98" customFormat="false" ht="15" hidden="false" customHeight="false" outlineLevel="0" collapsed="false">
      <c r="A98" s="16"/>
      <c r="B98" s="16"/>
      <c r="C98" s="16"/>
      <c r="D98" s="16"/>
      <c r="E98" s="16"/>
      <c r="F98" s="17"/>
      <c r="G98" s="16"/>
      <c r="H98" s="16"/>
      <c r="I98" s="17"/>
      <c r="J98" s="16" t="str">
        <f aca="true">IF(F98="","",IF(I98&lt;&gt;"",I98-F98,TODAY()-F98))</f>
        <v/>
      </c>
      <c r="K98" s="16"/>
    </row>
    <row r="99" customFormat="false" ht="15" hidden="false" customHeight="false" outlineLevel="0" collapsed="false">
      <c r="A99" s="16"/>
      <c r="B99" s="16"/>
      <c r="C99" s="16"/>
      <c r="D99" s="16"/>
      <c r="E99" s="16"/>
      <c r="F99" s="17"/>
      <c r="G99" s="16"/>
      <c r="H99" s="16"/>
      <c r="I99" s="17"/>
      <c r="J99" s="16" t="str">
        <f aca="true">IF(F99="","",IF(I99&lt;&gt;"",I99-F99,TODAY()-F99))</f>
        <v/>
      </c>
      <c r="K99" s="16"/>
    </row>
    <row r="100" customFormat="false" ht="15" hidden="false" customHeight="false" outlineLevel="0" collapsed="false">
      <c r="A100" s="16"/>
      <c r="B100" s="16"/>
      <c r="C100" s="16"/>
      <c r="D100" s="16"/>
      <c r="E100" s="16"/>
      <c r="F100" s="17"/>
      <c r="G100" s="16"/>
      <c r="H100" s="16"/>
      <c r="I100" s="17"/>
      <c r="J100" s="16" t="str">
        <f aca="true">IF(F100="","",IF(I100&lt;&gt;"",I100-F100,TODAY()-F100))</f>
        <v/>
      </c>
      <c r="K100" s="16"/>
    </row>
    <row r="101" customFormat="false" ht="15" hidden="false" customHeight="false" outlineLevel="0" collapsed="false">
      <c r="A101" s="16"/>
      <c r="B101" s="16"/>
      <c r="C101" s="16"/>
      <c r="D101" s="16"/>
      <c r="E101" s="16"/>
      <c r="F101" s="17"/>
      <c r="G101" s="16"/>
      <c r="H101" s="16"/>
      <c r="I101" s="17"/>
      <c r="J101" s="16" t="str">
        <f aca="true">IF(F101="","",IF(I101&lt;&gt;"",I101-F101,TODAY()-F101))</f>
        <v/>
      </c>
      <c r="K101" s="16"/>
    </row>
    <row r="102" customFormat="false" ht="15" hidden="false" customHeight="false" outlineLevel="0" collapsed="false">
      <c r="A102" s="16"/>
      <c r="B102" s="16"/>
      <c r="C102" s="16"/>
      <c r="D102" s="16"/>
      <c r="E102" s="16"/>
      <c r="F102" s="17"/>
      <c r="G102" s="16"/>
      <c r="H102" s="16"/>
      <c r="I102" s="17"/>
      <c r="J102" s="16" t="str">
        <f aca="true">IF(F102="","",IF(I102&lt;&gt;"",I102-F102,TODAY()-F102))</f>
        <v/>
      </c>
      <c r="K102" s="16"/>
    </row>
    <row r="103" customFormat="false" ht="15" hidden="false" customHeight="false" outlineLevel="0" collapsed="false">
      <c r="A103" s="16"/>
      <c r="B103" s="16"/>
      <c r="C103" s="16"/>
      <c r="D103" s="16"/>
      <c r="E103" s="16"/>
      <c r="F103" s="17"/>
      <c r="G103" s="16"/>
      <c r="H103" s="16"/>
      <c r="I103" s="17"/>
      <c r="J103" s="16" t="str">
        <f aca="true">IF(F103="","",IF(I103&lt;&gt;"",I103-F103,TODAY()-F103))</f>
        <v/>
      </c>
      <c r="K103" s="16"/>
    </row>
    <row r="104" customFormat="false" ht="15" hidden="false" customHeight="false" outlineLevel="0" collapsed="false">
      <c r="A104" s="16"/>
      <c r="B104" s="16"/>
      <c r="C104" s="16"/>
      <c r="D104" s="16"/>
      <c r="E104" s="16"/>
      <c r="F104" s="17"/>
      <c r="G104" s="16"/>
      <c r="H104" s="16"/>
      <c r="I104" s="17"/>
      <c r="J104" s="16" t="str">
        <f aca="true">IF(F104="","",IF(I104&lt;&gt;"",I104-F104,TODAY()-F104))</f>
        <v/>
      </c>
      <c r="K104" s="16"/>
    </row>
    <row r="105" customFormat="false" ht="15" hidden="false" customHeight="false" outlineLevel="0" collapsed="false">
      <c r="A105" s="16"/>
      <c r="B105" s="16"/>
      <c r="C105" s="16"/>
      <c r="D105" s="16"/>
      <c r="E105" s="16"/>
      <c r="F105" s="17"/>
      <c r="G105" s="16"/>
      <c r="H105" s="16"/>
      <c r="I105" s="17"/>
      <c r="J105" s="16" t="str">
        <f aca="true">IF(F105="","",IF(I105&lt;&gt;"",I105-F105,TODAY()-F105))</f>
        <v/>
      </c>
      <c r="K105" s="16"/>
    </row>
    <row r="106" customFormat="false" ht="15" hidden="false" customHeight="false" outlineLevel="0" collapsed="false">
      <c r="A106" s="16"/>
      <c r="B106" s="16"/>
      <c r="C106" s="16"/>
      <c r="D106" s="16"/>
      <c r="E106" s="16"/>
      <c r="F106" s="17"/>
      <c r="G106" s="16"/>
      <c r="H106" s="16"/>
      <c r="I106" s="17"/>
      <c r="J106" s="16" t="str">
        <f aca="true">IF(F106="","",IF(I106&lt;&gt;"",I106-F106,TODAY()-F106))</f>
        <v/>
      </c>
      <c r="K106" s="16"/>
    </row>
    <row r="107" customFormat="false" ht="15" hidden="false" customHeight="false" outlineLevel="0" collapsed="false">
      <c r="A107" s="16"/>
      <c r="B107" s="16"/>
      <c r="C107" s="16"/>
      <c r="D107" s="16"/>
      <c r="E107" s="16"/>
      <c r="F107" s="17"/>
      <c r="G107" s="16"/>
      <c r="H107" s="16"/>
      <c r="I107" s="17"/>
      <c r="J107" s="16" t="str">
        <f aca="true">IF(F107="","",IF(I107&lt;&gt;"",I107-F107,TODAY()-F107))</f>
        <v/>
      </c>
      <c r="K107" s="16"/>
    </row>
    <row r="108" customFormat="false" ht="15" hidden="false" customHeight="false" outlineLevel="0" collapsed="false">
      <c r="A108" s="16"/>
      <c r="B108" s="16"/>
      <c r="C108" s="16"/>
      <c r="D108" s="16"/>
      <c r="E108" s="16"/>
      <c r="F108" s="17"/>
      <c r="G108" s="16"/>
      <c r="H108" s="16"/>
      <c r="I108" s="17"/>
      <c r="J108" s="16" t="str">
        <f aca="true">IF(F108="","",IF(I108&lt;&gt;"",I108-F108,TODAY()-F108))</f>
        <v/>
      </c>
      <c r="K108" s="16"/>
    </row>
    <row r="109" customFormat="false" ht="15" hidden="false" customHeight="false" outlineLevel="0" collapsed="false">
      <c r="A109" s="16"/>
      <c r="B109" s="16"/>
      <c r="C109" s="16"/>
      <c r="D109" s="16"/>
      <c r="E109" s="16"/>
      <c r="F109" s="17"/>
      <c r="G109" s="16"/>
      <c r="H109" s="16"/>
      <c r="I109" s="17"/>
      <c r="J109" s="16" t="str">
        <f aca="true">IF(F109="","",IF(I109&lt;&gt;"",I109-F109,TODAY()-F109))</f>
        <v/>
      </c>
      <c r="K109" s="16"/>
    </row>
    <row r="110" customFormat="false" ht="15" hidden="false" customHeight="false" outlineLevel="0" collapsed="false">
      <c r="A110" s="16"/>
      <c r="B110" s="16"/>
      <c r="C110" s="16"/>
      <c r="D110" s="16"/>
      <c r="E110" s="16"/>
      <c r="F110" s="17"/>
      <c r="G110" s="16"/>
      <c r="H110" s="16"/>
      <c r="I110" s="17"/>
      <c r="J110" s="16" t="str">
        <f aca="true">IF(F110="","",IF(I110&lt;&gt;"",I110-F110,TODAY()-F110))</f>
        <v/>
      </c>
      <c r="K110" s="16"/>
    </row>
    <row r="111" customFormat="false" ht="15" hidden="false" customHeight="false" outlineLevel="0" collapsed="false">
      <c r="A111" s="16"/>
      <c r="B111" s="16"/>
      <c r="C111" s="16"/>
      <c r="D111" s="16"/>
      <c r="E111" s="16"/>
      <c r="F111" s="17"/>
      <c r="G111" s="16"/>
      <c r="H111" s="16"/>
      <c r="I111" s="17"/>
      <c r="J111" s="16" t="str">
        <f aca="true">IF(F111="","",IF(I111&lt;&gt;"",I111-F111,TODAY()-F111))</f>
        <v/>
      </c>
      <c r="K111" s="16"/>
    </row>
    <row r="112" customFormat="false" ht="15" hidden="false" customHeight="false" outlineLevel="0" collapsed="false">
      <c r="A112" s="16"/>
      <c r="B112" s="16"/>
      <c r="C112" s="16"/>
      <c r="D112" s="16"/>
      <c r="E112" s="16"/>
      <c r="F112" s="17"/>
      <c r="G112" s="16"/>
      <c r="H112" s="16"/>
      <c r="I112" s="17"/>
      <c r="J112" s="16" t="str">
        <f aca="true">IF(F112="","",IF(I112&lt;&gt;"",I112-F112,TODAY()-F112))</f>
        <v/>
      </c>
      <c r="K112" s="16"/>
    </row>
    <row r="113" customFormat="false" ht="15" hidden="false" customHeight="false" outlineLevel="0" collapsed="false">
      <c r="A113" s="16"/>
      <c r="B113" s="16"/>
      <c r="C113" s="16"/>
      <c r="D113" s="16"/>
      <c r="E113" s="16"/>
      <c r="F113" s="17"/>
      <c r="G113" s="16"/>
      <c r="H113" s="16"/>
      <c r="I113" s="17"/>
      <c r="J113" s="16" t="str">
        <f aca="true">IF(F113="","",IF(I113&lt;&gt;"",I113-F113,TODAY()-F113))</f>
        <v/>
      </c>
      <c r="K113" s="16"/>
    </row>
    <row r="114" customFormat="false" ht="15" hidden="false" customHeight="false" outlineLevel="0" collapsed="false">
      <c r="A114" s="16"/>
      <c r="B114" s="16"/>
      <c r="C114" s="16"/>
      <c r="D114" s="16"/>
      <c r="E114" s="16"/>
      <c r="F114" s="17"/>
      <c r="G114" s="16"/>
      <c r="H114" s="16"/>
      <c r="I114" s="17"/>
      <c r="J114" s="16" t="str">
        <f aca="true">IF(F114="","",IF(I114&lt;&gt;"",I114-F114,TODAY()-F114))</f>
        <v/>
      </c>
      <c r="K114" s="16"/>
    </row>
    <row r="115" customFormat="false" ht="15" hidden="false" customHeight="false" outlineLevel="0" collapsed="false">
      <c r="A115" s="16"/>
      <c r="B115" s="16"/>
      <c r="C115" s="16"/>
      <c r="D115" s="16"/>
      <c r="E115" s="16"/>
      <c r="F115" s="17"/>
      <c r="G115" s="16"/>
      <c r="H115" s="16"/>
      <c r="I115" s="17"/>
      <c r="J115" s="16" t="str">
        <f aca="true">IF(F115="","",IF(I115&lt;&gt;"",I115-F115,TODAY()-F115))</f>
        <v/>
      </c>
      <c r="K115" s="16"/>
    </row>
    <row r="116" customFormat="false" ht="15" hidden="false" customHeight="false" outlineLevel="0" collapsed="false">
      <c r="A116" s="16"/>
      <c r="B116" s="16"/>
      <c r="C116" s="16"/>
      <c r="D116" s="16"/>
      <c r="E116" s="16"/>
      <c r="F116" s="17"/>
      <c r="G116" s="16"/>
      <c r="H116" s="16"/>
      <c r="I116" s="17"/>
      <c r="J116" s="16" t="str">
        <f aca="true">IF(F116="","",IF(I116&lt;&gt;"",I116-F116,TODAY()-F116))</f>
        <v/>
      </c>
      <c r="K116" s="16"/>
    </row>
    <row r="117" customFormat="false" ht="15" hidden="false" customHeight="false" outlineLevel="0" collapsed="false">
      <c r="A117" s="16"/>
      <c r="B117" s="16"/>
      <c r="C117" s="16"/>
      <c r="D117" s="16"/>
      <c r="E117" s="16"/>
      <c r="F117" s="17"/>
      <c r="G117" s="16"/>
      <c r="H117" s="16"/>
      <c r="I117" s="17"/>
      <c r="J117" s="16" t="str">
        <f aca="true">IF(F117="","",IF(I117&lt;&gt;"",I117-F117,TODAY()-F117))</f>
        <v/>
      </c>
      <c r="K117" s="16"/>
    </row>
    <row r="118" customFormat="false" ht="15" hidden="false" customHeight="false" outlineLevel="0" collapsed="false">
      <c r="A118" s="16"/>
      <c r="B118" s="16"/>
      <c r="C118" s="16"/>
      <c r="D118" s="16"/>
      <c r="E118" s="16"/>
      <c r="F118" s="17"/>
      <c r="G118" s="16"/>
      <c r="H118" s="16"/>
      <c r="I118" s="17"/>
      <c r="J118" s="16" t="str">
        <f aca="true">IF(F118="","",IF(I118&lt;&gt;"",I118-F118,TODAY()-F118))</f>
        <v/>
      </c>
      <c r="K118" s="16"/>
    </row>
    <row r="119" customFormat="false" ht="15" hidden="false" customHeight="false" outlineLevel="0" collapsed="false">
      <c r="A119" s="16"/>
      <c r="B119" s="16"/>
      <c r="C119" s="16"/>
      <c r="D119" s="16"/>
      <c r="E119" s="16"/>
      <c r="F119" s="17"/>
      <c r="G119" s="16"/>
      <c r="H119" s="16"/>
      <c r="I119" s="17"/>
      <c r="J119" s="16" t="str">
        <f aca="true">IF(F119="","",IF(I119&lt;&gt;"",I119-F119,TODAY()-F119))</f>
        <v/>
      </c>
      <c r="K119" s="16"/>
    </row>
    <row r="120" customFormat="false" ht="15" hidden="false" customHeight="false" outlineLevel="0" collapsed="false">
      <c r="A120" s="16"/>
      <c r="B120" s="16"/>
      <c r="C120" s="16"/>
      <c r="D120" s="16"/>
      <c r="E120" s="16"/>
      <c r="F120" s="17"/>
      <c r="G120" s="16"/>
      <c r="H120" s="16"/>
      <c r="I120" s="17"/>
      <c r="J120" s="16" t="str">
        <f aca="true">IF(F120="","",IF(I120&lt;&gt;"",I120-F120,TODAY()-F120))</f>
        <v/>
      </c>
      <c r="K120" s="16"/>
    </row>
    <row r="121" customFormat="false" ht="15" hidden="false" customHeight="false" outlineLevel="0" collapsed="false">
      <c r="A121" s="16"/>
      <c r="B121" s="16"/>
      <c r="C121" s="16"/>
      <c r="D121" s="16"/>
      <c r="E121" s="16"/>
      <c r="F121" s="17"/>
      <c r="G121" s="16"/>
      <c r="H121" s="16"/>
      <c r="I121" s="17"/>
      <c r="J121" s="16" t="str">
        <f aca="true">IF(F121="","",IF(I121&lt;&gt;"",I121-F121,TODAY()-F121))</f>
        <v/>
      </c>
      <c r="K121" s="16"/>
    </row>
    <row r="122" customFormat="false" ht="15" hidden="false" customHeight="false" outlineLevel="0" collapsed="false">
      <c r="A122" s="16"/>
      <c r="B122" s="16"/>
      <c r="C122" s="16"/>
      <c r="D122" s="16"/>
      <c r="E122" s="16"/>
      <c r="F122" s="17"/>
      <c r="G122" s="16"/>
      <c r="H122" s="16"/>
      <c r="I122" s="17"/>
      <c r="J122" s="16" t="str">
        <f aca="true">IF(F122="","",IF(I122&lt;&gt;"",I122-F122,TODAY()-F122))</f>
        <v/>
      </c>
      <c r="K122" s="16"/>
    </row>
    <row r="123" customFormat="false" ht="15" hidden="false" customHeight="false" outlineLevel="0" collapsed="false">
      <c r="A123" s="16"/>
      <c r="B123" s="16"/>
      <c r="C123" s="16"/>
      <c r="D123" s="16"/>
      <c r="E123" s="16"/>
      <c r="F123" s="17"/>
      <c r="G123" s="16"/>
      <c r="H123" s="16"/>
      <c r="I123" s="17"/>
      <c r="J123" s="16" t="str">
        <f aca="true">IF(F123="","",IF(I123&lt;&gt;"",I123-F123,TODAY()-F123))</f>
        <v/>
      </c>
      <c r="K123" s="16"/>
    </row>
    <row r="124" customFormat="false" ht="15" hidden="false" customHeight="false" outlineLevel="0" collapsed="false">
      <c r="A124" s="16"/>
      <c r="B124" s="16"/>
      <c r="C124" s="16"/>
      <c r="D124" s="16"/>
      <c r="E124" s="16"/>
      <c r="F124" s="17"/>
      <c r="G124" s="16"/>
      <c r="H124" s="16"/>
      <c r="I124" s="17"/>
      <c r="J124" s="16" t="str">
        <f aca="true">IF(F124="","",IF(I124&lt;&gt;"",I124-F124,TODAY()-F124))</f>
        <v/>
      </c>
      <c r="K124" s="16"/>
    </row>
    <row r="125" customFormat="false" ht="15" hidden="false" customHeight="false" outlineLevel="0" collapsed="false">
      <c r="A125" s="16"/>
      <c r="B125" s="16"/>
      <c r="C125" s="16"/>
      <c r="D125" s="16"/>
      <c r="E125" s="16"/>
      <c r="F125" s="17"/>
      <c r="G125" s="16"/>
      <c r="H125" s="16"/>
      <c r="I125" s="17"/>
      <c r="J125" s="16" t="str">
        <f aca="true">IF(F125="","",IF(I125&lt;&gt;"",I125-F125,TODAY()-F125))</f>
        <v/>
      </c>
      <c r="K125" s="16"/>
    </row>
    <row r="126" customFormat="false" ht="15" hidden="false" customHeight="false" outlineLevel="0" collapsed="false">
      <c r="A126" s="16"/>
      <c r="B126" s="16"/>
      <c r="C126" s="16"/>
      <c r="D126" s="16"/>
      <c r="E126" s="16"/>
      <c r="F126" s="17"/>
      <c r="G126" s="16"/>
      <c r="H126" s="16"/>
      <c r="I126" s="17"/>
      <c r="J126" s="16" t="str">
        <f aca="true">IF(F126="","",IF(I126&lt;&gt;"",I126-F126,TODAY()-F126))</f>
        <v/>
      </c>
      <c r="K126" s="16"/>
    </row>
    <row r="127" customFormat="false" ht="15" hidden="false" customHeight="false" outlineLevel="0" collapsed="false">
      <c r="A127" s="16"/>
      <c r="B127" s="16"/>
      <c r="C127" s="16"/>
      <c r="D127" s="16"/>
      <c r="E127" s="16"/>
      <c r="F127" s="17"/>
      <c r="G127" s="16"/>
      <c r="H127" s="16"/>
      <c r="I127" s="17"/>
      <c r="J127" s="16" t="str">
        <f aca="true">IF(F127="","",IF(I127&lt;&gt;"",I127-F127,TODAY()-F127))</f>
        <v/>
      </c>
      <c r="K127" s="16"/>
    </row>
    <row r="128" customFormat="false" ht="15" hidden="false" customHeight="false" outlineLevel="0" collapsed="false">
      <c r="A128" s="16"/>
      <c r="B128" s="16"/>
      <c r="C128" s="16"/>
      <c r="D128" s="16"/>
      <c r="E128" s="16"/>
      <c r="F128" s="17"/>
      <c r="G128" s="16"/>
      <c r="H128" s="16"/>
      <c r="I128" s="17"/>
      <c r="J128" s="16" t="str">
        <f aca="true">IF(F128="","",IF(I128&lt;&gt;"",I128-F128,TODAY()-F128))</f>
        <v/>
      </c>
      <c r="K128" s="16"/>
    </row>
    <row r="129" customFormat="false" ht="15" hidden="false" customHeight="false" outlineLevel="0" collapsed="false">
      <c r="A129" s="16"/>
      <c r="B129" s="16"/>
      <c r="C129" s="16"/>
      <c r="D129" s="16"/>
      <c r="E129" s="16"/>
      <c r="F129" s="17"/>
      <c r="G129" s="16"/>
      <c r="H129" s="16"/>
      <c r="I129" s="17"/>
      <c r="J129" s="16" t="str">
        <f aca="true">IF(F129="","",IF(I129&lt;&gt;"",I129-F129,TODAY()-F129))</f>
        <v/>
      </c>
      <c r="K129" s="16"/>
    </row>
    <row r="130" customFormat="false" ht="15" hidden="false" customHeight="false" outlineLevel="0" collapsed="false">
      <c r="A130" s="16"/>
      <c r="B130" s="16"/>
      <c r="C130" s="16"/>
      <c r="D130" s="16"/>
      <c r="E130" s="16"/>
      <c r="F130" s="17"/>
      <c r="G130" s="16"/>
      <c r="H130" s="16"/>
      <c r="I130" s="17"/>
      <c r="J130" s="16" t="str">
        <f aca="true">IF(F130="","",IF(I130&lt;&gt;"",I130-F130,TODAY()-F130))</f>
        <v/>
      </c>
      <c r="K130" s="16"/>
    </row>
    <row r="131" customFormat="false" ht="15" hidden="false" customHeight="false" outlineLevel="0" collapsed="false">
      <c r="A131" s="16"/>
      <c r="B131" s="16"/>
      <c r="C131" s="16"/>
      <c r="D131" s="16"/>
      <c r="E131" s="16"/>
      <c r="F131" s="17"/>
      <c r="G131" s="16"/>
      <c r="H131" s="16"/>
      <c r="I131" s="17"/>
      <c r="J131" s="16" t="str">
        <f aca="true">IF(F131="","",IF(I131&lt;&gt;"",I131-F131,TODAY()-F131))</f>
        <v/>
      </c>
      <c r="K131" s="16"/>
    </row>
    <row r="132" customFormat="false" ht="15" hidden="false" customHeight="false" outlineLevel="0" collapsed="false">
      <c r="A132" s="16"/>
      <c r="B132" s="16"/>
      <c r="C132" s="16"/>
      <c r="D132" s="16"/>
      <c r="E132" s="16"/>
      <c r="F132" s="17"/>
      <c r="G132" s="16"/>
      <c r="H132" s="16"/>
      <c r="I132" s="17"/>
      <c r="J132" s="16" t="str">
        <f aca="true">IF(F132="","",IF(I132&lt;&gt;"",I132-F132,TODAY()-F132))</f>
        <v/>
      </c>
      <c r="K132" s="16"/>
    </row>
    <row r="133" customFormat="false" ht="15" hidden="false" customHeight="false" outlineLevel="0" collapsed="false">
      <c r="A133" s="16"/>
      <c r="B133" s="16"/>
      <c r="C133" s="16"/>
      <c r="D133" s="16"/>
      <c r="E133" s="16"/>
      <c r="F133" s="17"/>
      <c r="G133" s="16"/>
      <c r="H133" s="16"/>
      <c r="I133" s="17"/>
      <c r="J133" s="16" t="str">
        <f aca="true">IF(F133="","",IF(I133&lt;&gt;"",I133-F133,TODAY()-F133))</f>
        <v/>
      </c>
      <c r="K133" s="16"/>
    </row>
    <row r="134" customFormat="false" ht="15" hidden="false" customHeight="false" outlineLevel="0" collapsed="false">
      <c r="A134" s="16"/>
      <c r="B134" s="16"/>
      <c r="C134" s="16"/>
      <c r="D134" s="16"/>
      <c r="E134" s="16"/>
      <c r="F134" s="17"/>
      <c r="G134" s="16"/>
      <c r="H134" s="16"/>
      <c r="I134" s="17"/>
      <c r="J134" s="16" t="str">
        <f aca="true">IF(F134="","",IF(I134&lt;&gt;"",I134-F134,TODAY()-F134))</f>
        <v/>
      </c>
      <c r="K134" s="16"/>
    </row>
    <row r="135" customFormat="false" ht="15" hidden="false" customHeight="false" outlineLevel="0" collapsed="false">
      <c r="A135" s="16"/>
      <c r="B135" s="16"/>
      <c r="C135" s="16"/>
      <c r="D135" s="16"/>
      <c r="E135" s="16"/>
      <c r="F135" s="17"/>
      <c r="G135" s="16"/>
      <c r="H135" s="16"/>
      <c r="I135" s="17"/>
      <c r="J135" s="16" t="str">
        <f aca="true">IF(F135="","",IF(I135&lt;&gt;"",I135-F135,TODAY()-F135))</f>
        <v/>
      </c>
      <c r="K135" s="16"/>
    </row>
    <row r="136" customFormat="false" ht="15" hidden="false" customHeight="false" outlineLevel="0" collapsed="false">
      <c r="A136" s="16"/>
      <c r="B136" s="16"/>
      <c r="C136" s="16"/>
      <c r="D136" s="16"/>
      <c r="E136" s="16"/>
      <c r="F136" s="17"/>
      <c r="G136" s="16"/>
      <c r="H136" s="16"/>
      <c r="I136" s="17"/>
      <c r="J136" s="16" t="str">
        <f aca="true">IF(F136="","",IF(I136&lt;&gt;"",I136-F136,TODAY()-F136))</f>
        <v/>
      </c>
      <c r="K136" s="16"/>
    </row>
    <row r="137" customFormat="false" ht="15" hidden="false" customHeight="false" outlineLevel="0" collapsed="false">
      <c r="A137" s="16"/>
      <c r="B137" s="16"/>
      <c r="C137" s="16"/>
      <c r="D137" s="16"/>
      <c r="E137" s="16"/>
      <c r="F137" s="17"/>
      <c r="G137" s="16"/>
      <c r="H137" s="16"/>
      <c r="I137" s="17"/>
      <c r="J137" s="16" t="str">
        <f aca="true">IF(F137="","",IF(I137&lt;&gt;"",I137-F137,TODAY()-F137))</f>
        <v/>
      </c>
      <c r="K137" s="16"/>
    </row>
    <row r="138" customFormat="false" ht="15" hidden="false" customHeight="false" outlineLevel="0" collapsed="false">
      <c r="A138" s="16"/>
      <c r="B138" s="16"/>
      <c r="C138" s="16"/>
      <c r="D138" s="16"/>
      <c r="E138" s="16"/>
      <c r="F138" s="17"/>
      <c r="G138" s="16"/>
      <c r="H138" s="16"/>
      <c r="I138" s="17"/>
      <c r="J138" s="16" t="str">
        <f aca="true">IF(F138="","",IF(I138&lt;&gt;"",I138-F138,TODAY()-F138))</f>
        <v/>
      </c>
      <c r="K138" s="16"/>
    </row>
    <row r="139" customFormat="false" ht="15" hidden="false" customHeight="false" outlineLevel="0" collapsed="false">
      <c r="A139" s="16"/>
      <c r="B139" s="16"/>
      <c r="C139" s="16"/>
      <c r="D139" s="16"/>
      <c r="E139" s="16"/>
      <c r="F139" s="17"/>
      <c r="G139" s="16"/>
      <c r="H139" s="16"/>
      <c r="I139" s="17"/>
      <c r="J139" s="16" t="str">
        <f aca="true">IF(F139="","",IF(I139&lt;&gt;"",I139-F139,TODAY()-F139))</f>
        <v/>
      </c>
      <c r="K139" s="16"/>
    </row>
    <row r="140" customFormat="false" ht="15" hidden="false" customHeight="false" outlineLevel="0" collapsed="false">
      <c r="A140" s="16"/>
      <c r="B140" s="16"/>
      <c r="C140" s="16"/>
      <c r="D140" s="16"/>
      <c r="E140" s="16"/>
      <c r="F140" s="17"/>
      <c r="G140" s="16"/>
      <c r="H140" s="16"/>
      <c r="I140" s="17"/>
      <c r="J140" s="16" t="str">
        <f aca="true">IF(F140="","",IF(I140&lt;&gt;"",I140-F140,TODAY()-F140))</f>
        <v/>
      </c>
      <c r="K140" s="16"/>
    </row>
    <row r="141" customFormat="false" ht="15" hidden="false" customHeight="false" outlineLevel="0" collapsed="false">
      <c r="A141" s="16"/>
      <c r="B141" s="16"/>
      <c r="C141" s="16"/>
      <c r="D141" s="16"/>
      <c r="E141" s="16"/>
      <c r="F141" s="17"/>
      <c r="G141" s="16"/>
      <c r="H141" s="16"/>
      <c r="I141" s="17"/>
      <c r="J141" s="16" t="str">
        <f aca="true">IF(F141="","",IF(I141&lt;&gt;"",I141-F141,TODAY()-F141))</f>
        <v/>
      </c>
      <c r="K141" s="16"/>
    </row>
    <row r="142" customFormat="false" ht="15" hidden="false" customHeight="false" outlineLevel="0" collapsed="false">
      <c r="A142" s="16"/>
      <c r="B142" s="16"/>
      <c r="C142" s="16"/>
      <c r="D142" s="16"/>
      <c r="E142" s="16"/>
      <c r="F142" s="17"/>
      <c r="G142" s="16"/>
      <c r="H142" s="16"/>
      <c r="I142" s="17"/>
      <c r="J142" s="16" t="str">
        <f aca="true">IF(F142="","",IF(I142&lt;&gt;"",I142-F142,TODAY()-F142))</f>
        <v/>
      </c>
      <c r="K142" s="16"/>
    </row>
    <row r="143" customFormat="false" ht="15" hidden="false" customHeight="false" outlineLevel="0" collapsed="false">
      <c r="A143" s="16"/>
      <c r="B143" s="16"/>
      <c r="C143" s="16"/>
      <c r="D143" s="16"/>
      <c r="E143" s="16"/>
      <c r="F143" s="17"/>
      <c r="G143" s="16"/>
      <c r="H143" s="16"/>
      <c r="I143" s="17"/>
      <c r="J143" s="16" t="str">
        <f aca="true">IF(F143="","",IF(I143&lt;&gt;"",I143-F143,TODAY()-F143))</f>
        <v/>
      </c>
      <c r="K143" s="16"/>
    </row>
    <row r="144" customFormat="false" ht="15" hidden="false" customHeight="false" outlineLevel="0" collapsed="false">
      <c r="A144" s="16"/>
      <c r="B144" s="16"/>
      <c r="C144" s="16"/>
      <c r="D144" s="16"/>
      <c r="E144" s="16"/>
      <c r="F144" s="17"/>
      <c r="G144" s="16"/>
      <c r="H144" s="16"/>
      <c r="I144" s="17"/>
      <c r="J144" s="16" t="str">
        <f aca="true">IF(F144="","",IF(I144&lt;&gt;"",I144-F144,TODAY()-F144))</f>
        <v/>
      </c>
      <c r="K144" s="16"/>
    </row>
    <row r="145" customFormat="false" ht="15" hidden="false" customHeight="false" outlineLevel="0" collapsed="false">
      <c r="A145" s="16"/>
      <c r="B145" s="16"/>
      <c r="C145" s="16"/>
      <c r="D145" s="16"/>
      <c r="E145" s="16"/>
      <c r="F145" s="17"/>
      <c r="G145" s="16"/>
      <c r="H145" s="16"/>
      <c r="I145" s="17"/>
      <c r="J145" s="16" t="str">
        <f aca="true">IF(F145="","",IF(I145&lt;&gt;"",I145-F145,TODAY()-F145))</f>
        <v/>
      </c>
      <c r="K145" s="16"/>
    </row>
    <row r="146" customFormat="false" ht="15" hidden="false" customHeight="false" outlineLevel="0" collapsed="false">
      <c r="A146" s="16"/>
      <c r="B146" s="16"/>
      <c r="C146" s="16"/>
      <c r="D146" s="16"/>
      <c r="E146" s="16"/>
      <c r="F146" s="17"/>
      <c r="G146" s="16"/>
      <c r="H146" s="16"/>
      <c r="I146" s="17"/>
      <c r="J146" s="16" t="str">
        <f aca="true">IF(F146="","",IF(I146&lt;&gt;"",I146-F146,TODAY()-F146))</f>
        <v/>
      </c>
      <c r="K146" s="16"/>
    </row>
    <row r="147" customFormat="false" ht="15" hidden="false" customHeight="false" outlineLevel="0" collapsed="false">
      <c r="A147" s="16"/>
      <c r="B147" s="16"/>
      <c r="C147" s="16"/>
      <c r="D147" s="16"/>
      <c r="E147" s="16"/>
      <c r="F147" s="17"/>
      <c r="G147" s="16"/>
      <c r="H147" s="16"/>
      <c r="I147" s="17"/>
      <c r="J147" s="16" t="str">
        <f aca="true">IF(F147="","",IF(I147&lt;&gt;"",I147-F147,TODAY()-F147))</f>
        <v/>
      </c>
      <c r="K147" s="16"/>
    </row>
    <row r="148" customFormat="false" ht="15" hidden="false" customHeight="false" outlineLevel="0" collapsed="false">
      <c r="A148" s="16"/>
      <c r="B148" s="16"/>
      <c r="C148" s="16"/>
      <c r="D148" s="16"/>
      <c r="E148" s="16"/>
      <c r="F148" s="17"/>
      <c r="G148" s="16"/>
      <c r="H148" s="16"/>
      <c r="I148" s="17"/>
      <c r="J148" s="16" t="str">
        <f aca="true">IF(F148="","",IF(I148&lt;&gt;"",I148-F148,TODAY()-F148))</f>
        <v/>
      </c>
      <c r="K148" s="16"/>
    </row>
    <row r="149" customFormat="false" ht="15" hidden="false" customHeight="false" outlineLevel="0" collapsed="false">
      <c r="A149" s="16"/>
      <c r="B149" s="16"/>
      <c r="C149" s="16"/>
      <c r="D149" s="16"/>
      <c r="E149" s="16"/>
      <c r="F149" s="17"/>
      <c r="G149" s="16"/>
      <c r="H149" s="16"/>
      <c r="I149" s="17"/>
      <c r="J149" s="16" t="str">
        <f aca="true">IF(F149="","",IF(I149&lt;&gt;"",I149-F149,TODAY()-F149))</f>
        <v/>
      </c>
      <c r="K149" s="16"/>
    </row>
    <row r="150" customFormat="false" ht="15" hidden="false" customHeight="false" outlineLevel="0" collapsed="false">
      <c r="A150" s="16"/>
      <c r="B150" s="16"/>
      <c r="C150" s="16"/>
      <c r="D150" s="16"/>
      <c r="E150" s="16"/>
      <c r="F150" s="17"/>
      <c r="G150" s="16"/>
      <c r="H150" s="16"/>
      <c r="I150" s="17"/>
      <c r="J150" s="16" t="str">
        <f aca="true">IF(F150="","",IF(I150&lt;&gt;"",I150-F150,TODAY()-F150))</f>
        <v/>
      </c>
      <c r="K150" s="16"/>
    </row>
    <row r="151" customFormat="false" ht="15" hidden="false" customHeight="false" outlineLevel="0" collapsed="false">
      <c r="A151" s="16"/>
      <c r="B151" s="16"/>
      <c r="C151" s="16"/>
      <c r="D151" s="16"/>
      <c r="E151" s="16"/>
      <c r="F151" s="17"/>
      <c r="G151" s="16"/>
      <c r="H151" s="16"/>
      <c r="I151" s="17"/>
      <c r="J151" s="16" t="str">
        <f aca="true">IF(F151="","",IF(I151&lt;&gt;"",I151-F151,TODAY()-F151))</f>
        <v/>
      </c>
      <c r="K151" s="16"/>
    </row>
    <row r="152" customFormat="false" ht="15" hidden="false" customHeight="false" outlineLevel="0" collapsed="false">
      <c r="A152" s="16"/>
      <c r="B152" s="16"/>
      <c r="C152" s="16"/>
      <c r="D152" s="16"/>
      <c r="E152" s="16"/>
      <c r="F152" s="17"/>
      <c r="G152" s="16"/>
      <c r="H152" s="16"/>
      <c r="I152" s="17"/>
      <c r="J152" s="16" t="str">
        <f aca="true">IF(F152="","",IF(I152&lt;&gt;"",I152-F152,TODAY()-F152))</f>
        <v/>
      </c>
      <c r="K152" s="16"/>
    </row>
    <row r="153" customFormat="false" ht="15" hidden="false" customHeight="false" outlineLevel="0" collapsed="false">
      <c r="A153" s="16"/>
      <c r="B153" s="16"/>
      <c r="C153" s="16"/>
      <c r="D153" s="16"/>
      <c r="E153" s="16"/>
      <c r="F153" s="17"/>
      <c r="G153" s="16"/>
      <c r="H153" s="16"/>
      <c r="I153" s="17"/>
      <c r="J153" s="16" t="str">
        <f aca="true">IF(F153="","",IF(I153&lt;&gt;"",I153-F153,TODAY()-F153))</f>
        <v/>
      </c>
      <c r="K153" s="16"/>
    </row>
    <row r="154" customFormat="false" ht="15" hidden="false" customHeight="false" outlineLevel="0" collapsed="false">
      <c r="A154" s="16"/>
      <c r="B154" s="16"/>
      <c r="C154" s="16"/>
      <c r="D154" s="16"/>
      <c r="E154" s="16"/>
      <c r="F154" s="17"/>
      <c r="G154" s="16"/>
      <c r="H154" s="16"/>
      <c r="I154" s="17"/>
      <c r="J154" s="16" t="str">
        <f aca="true">IF(F154="","",IF(I154&lt;&gt;"",I154-F154,TODAY()-F154))</f>
        <v/>
      </c>
      <c r="K154" s="16"/>
    </row>
    <row r="155" customFormat="false" ht="15" hidden="false" customHeight="false" outlineLevel="0" collapsed="false">
      <c r="A155" s="16"/>
      <c r="B155" s="16"/>
      <c r="C155" s="16"/>
      <c r="D155" s="16"/>
      <c r="E155" s="16"/>
      <c r="F155" s="17"/>
      <c r="G155" s="16"/>
      <c r="H155" s="16"/>
      <c r="I155" s="17"/>
      <c r="J155" s="16" t="str">
        <f aca="true">IF(F155="","",IF(I155&lt;&gt;"",I155-F155,TODAY()-F155))</f>
        <v/>
      </c>
      <c r="K155" s="16"/>
    </row>
    <row r="156" customFormat="false" ht="15" hidden="false" customHeight="false" outlineLevel="0" collapsed="false">
      <c r="A156" s="16"/>
      <c r="B156" s="16"/>
      <c r="C156" s="16"/>
      <c r="D156" s="16"/>
      <c r="E156" s="16"/>
      <c r="F156" s="17"/>
      <c r="G156" s="16"/>
      <c r="H156" s="16"/>
      <c r="I156" s="17"/>
      <c r="J156" s="16" t="str">
        <f aca="true">IF(F156="","",IF(I156&lt;&gt;"",I156-F156,TODAY()-F156))</f>
        <v/>
      </c>
      <c r="K156" s="16"/>
    </row>
    <row r="157" customFormat="false" ht="15" hidden="false" customHeight="false" outlineLevel="0" collapsed="false">
      <c r="A157" s="16"/>
      <c r="B157" s="16"/>
      <c r="C157" s="16"/>
      <c r="D157" s="16"/>
      <c r="E157" s="16"/>
      <c r="F157" s="17"/>
      <c r="G157" s="16"/>
      <c r="H157" s="16"/>
      <c r="I157" s="17"/>
      <c r="J157" s="16" t="str">
        <f aca="true">IF(F157="","",IF(I157&lt;&gt;"",I157-F157,TODAY()-F157))</f>
        <v/>
      </c>
      <c r="K157" s="16"/>
    </row>
    <row r="158" customFormat="false" ht="15" hidden="false" customHeight="false" outlineLevel="0" collapsed="false">
      <c r="A158" s="16"/>
      <c r="B158" s="16"/>
      <c r="C158" s="16"/>
      <c r="D158" s="16"/>
      <c r="E158" s="16"/>
      <c r="F158" s="17"/>
      <c r="G158" s="16"/>
      <c r="H158" s="16"/>
      <c r="I158" s="17"/>
      <c r="J158" s="16" t="str">
        <f aca="true">IF(F158="","",IF(I158&lt;&gt;"",I158-F158,TODAY()-F158))</f>
        <v/>
      </c>
      <c r="K158" s="16"/>
    </row>
    <row r="159" customFormat="false" ht="15" hidden="false" customHeight="false" outlineLevel="0" collapsed="false">
      <c r="A159" s="16"/>
      <c r="B159" s="16"/>
      <c r="C159" s="16"/>
      <c r="D159" s="16"/>
      <c r="E159" s="16"/>
      <c r="F159" s="17"/>
      <c r="G159" s="16"/>
      <c r="H159" s="16"/>
      <c r="I159" s="17"/>
      <c r="J159" s="16" t="str">
        <f aca="true">IF(F159="","",IF(I159&lt;&gt;"",I159-F159,TODAY()-F159))</f>
        <v/>
      </c>
      <c r="K159" s="16"/>
    </row>
    <row r="160" customFormat="false" ht="15" hidden="false" customHeight="false" outlineLevel="0" collapsed="false">
      <c r="A160" s="16"/>
      <c r="B160" s="16"/>
      <c r="C160" s="16"/>
      <c r="D160" s="16"/>
      <c r="E160" s="16"/>
      <c r="F160" s="17"/>
      <c r="G160" s="16"/>
      <c r="H160" s="16"/>
      <c r="I160" s="17"/>
      <c r="J160" s="16" t="str">
        <f aca="true">IF(F160="","",IF(I160&lt;&gt;"",I160-F160,TODAY()-F160))</f>
        <v/>
      </c>
      <c r="K160" s="16"/>
    </row>
    <row r="161" customFormat="false" ht="15" hidden="false" customHeight="false" outlineLevel="0" collapsed="false">
      <c r="A161" s="16"/>
      <c r="B161" s="16"/>
      <c r="C161" s="16"/>
      <c r="D161" s="16"/>
      <c r="E161" s="16"/>
      <c r="F161" s="17"/>
      <c r="G161" s="16"/>
      <c r="H161" s="16"/>
      <c r="I161" s="17"/>
      <c r="J161" s="16" t="str">
        <f aca="true">IF(F161="","",IF(I161&lt;&gt;"",I161-F161,TODAY()-F161))</f>
        <v/>
      </c>
      <c r="K161" s="16"/>
    </row>
    <row r="162" customFormat="false" ht="15" hidden="false" customHeight="false" outlineLevel="0" collapsed="false">
      <c r="A162" s="16"/>
      <c r="B162" s="16"/>
      <c r="C162" s="16"/>
      <c r="D162" s="16"/>
      <c r="E162" s="16"/>
      <c r="F162" s="17"/>
      <c r="G162" s="16"/>
      <c r="H162" s="16"/>
      <c r="I162" s="17"/>
      <c r="J162" s="16" t="str">
        <f aca="true">IF(F162="","",IF(I162&lt;&gt;"",I162-F162,TODAY()-F162))</f>
        <v/>
      </c>
      <c r="K162" s="16"/>
    </row>
    <row r="163" customFormat="false" ht="15" hidden="false" customHeight="false" outlineLevel="0" collapsed="false">
      <c r="A163" s="16"/>
      <c r="B163" s="16"/>
      <c r="C163" s="16"/>
      <c r="D163" s="16"/>
      <c r="E163" s="16"/>
      <c r="F163" s="17"/>
      <c r="G163" s="16"/>
      <c r="H163" s="16"/>
      <c r="I163" s="17"/>
      <c r="J163" s="16" t="str">
        <f aca="true">IF(F163="","",IF(I163&lt;&gt;"",I163-F163,TODAY()-F163))</f>
        <v/>
      </c>
      <c r="K163" s="16"/>
    </row>
    <row r="164" customFormat="false" ht="15" hidden="false" customHeight="false" outlineLevel="0" collapsed="false">
      <c r="A164" s="16"/>
      <c r="B164" s="16"/>
      <c r="C164" s="16"/>
      <c r="D164" s="16"/>
      <c r="E164" s="16"/>
      <c r="F164" s="17"/>
      <c r="G164" s="16"/>
      <c r="H164" s="16"/>
      <c r="I164" s="17"/>
      <c r="J164" s="16" t="str">
        <f aca="true">IF(F164="","",IF(I164&lt;&gt;"",I164-F164,TODAY()-F164))</f>
        <v/>
      </c>
      <c r="K164" s="16"/>
    </row>
    <row r="165" customFormat="false" ht="15" hidden="false" customHeight="false" outlineLevel="0" collapsed="false">
      <c r="A165" s="16"/>
      <c r="B165" s="16"/>
      <c r="C165" s="16"/>
      <c r="D165" s="16"/>
      <c r="E165" s="16"/>
      <c r="F165" s="17"/>
      <c r="G165" s="16"/>
      <c r="H165" s="16"/>
      <c r="I165" s="17"/>
      <c r="J165" s="16" t="str">
        <f aca="true">IF(F165="","",IF(I165&lt;&gt;"",I165-F165,TODAY()-F165))</f>
        <v/>
      </c>
      <c r="K165" s="16"/>
    </row>
    <row r="166" customFormat="false" ht="15" hidden="false" customHeight="false" outlineLevel="0" collapsed="false">
      <c r="A166" s="16"/>
      <c r="B166" s="16"/>
      <c r="C166" s="16"/>
      <c r="D166" s="16"/>
      <c r="E166" s="16"/>
      <c r="F166" s="17"/>
      <c r="G166" s="16"/>
      <c r="H166" s="16"/>
      <c r="I166" s="17"/>
      <c r="J166" s="16" t="str">
        <f aca="true">IF(F166="","",IF(I166&lt;&gt;"",I166-F166,TODAY()-F166))</f>
        <v/>
      </c>
      <c r="K166" s="16"/>
    </row>
    <row r="167" customFormat="false" ht="15" hidden="false" customHeight="false" outlineLevel="0" collapsed="false">
      <c r="A167" s="16"/>
      <c r="B167" s="16"/>
      <c r="C167" s="16"/>
      <c r="D167" s="16"/>
      <c r="E167" s="16"/>
      <c r="F167" s="17"/>
      <c r="G167" s="16"/>
      <c r="H167" s="16"/>
      <c r="I167" s="17"/>
      <c r="J167" s="16" t="str">
        <f aca="true">IF(F167="","",IF(I167&lt;&gt;"",I167-F167,TODAY()-F167))</f>
        <v/>
      </c>
      <c r="K167" s="16"/>
    </row>
    <row r="168" customFormat="false" ht="15" hidden="false" customHeight="false" outlineLevel="0" collapsed="false">
      <c r="A168" s="16"/>
      <c r="B168" s="16"/>
      <c r="C168" s="16"/>
      <c r="D168" s="16"/>
      <c r="E168" s="16"/>
      <c r="F168" s="17"/>
      <c r="G168" s="16"/>
      <c r="H168" s="16"/>
      <c r="I168" s="17"/>
      <c r="J168" s="16" t="str">
        <f aca="true">IF(F168="","",IF(I168&lt;&gt;"",I168-F168,TODAY()-F168))</f>
        <v/>
      </c>
      <c r="K168" s="16"/>
    </row>
    <row r="169" customFormat="false" ht="15" hidden="false" customHeight="false" outlineLevel="0" collapsed="false">
      <c r="A169" s="16"/>
      <c r="B169" s="16"/>
      <c r="C169" s="16"/>
      <c r="D169" s="16"/>
      <c r="E169" s="16"/>
      <c r="F169" s="17"/>
      <c r="G169" s="16"/>
      <c r="H169" s="16"/>
      <c r="I169" s="17"/>
      <c r="J169" s="16" t="str">
        <f aca="true">IF(F169="","",IF(I169&lt;&gt;"",I169-F169,TODAY()-F169))</f>
        <v/>
      </c>
      <c r="K169" s="16"/>
    </row>
    <row r="170" customFormat="false" ht="15" hidden="false" customHeight="false" outlineLevel="0" collapsed="false">
      <c r="A170" s="16"/>
      <c r="B170" s="16"/>
      <c r="C170" s="16"/>
      <c r="D170" s="16"/>
      <c r="E170" s="16"/>
      <c r="F170" s="17"/>
      <c r="G170" s="16"/>
      <c r="H170" s="16"/>
      <c r="I170" s="17"/>
      <c r="J170" s="16" t="str">
        <f aca="true">IF(F170="","",IF(I170&lt;&gt;"",I170-F170,TODAY()-F170))</f>
        <v/>
      </c>
      <c r="K170" s="16"/>
    </row>
    <row r="171" customFormat="false" ht="15" hidden="false" customHeight="false" outlineLevel="0" collapsed="false">
      <c r="A171" s="16"/>
      <c r="B171" s="16"/>
      <c r="C171" s="16"/>
      <c r="D171" s="16"/>
      <c r="E171" s="16"/>
      <c r="F171" s="17"/>
      <c r="G171" s="16"/>
      <c r="H171" s="16"/>
      <c r="I171" s="17"/>
      <c r="J171" s="16" t="str">
        <f aca="true">IF(F171="","",IF(I171&lt;&gt;"",I171-F171,TODAY()-F171))</f>
        <v/>
      </c>
      <c r="K171" s="16"/>
    </row>
    <row r="172" customFormat="false" ht="15" hidden="false" customHeight="false" outlineLevel="0" collapsed="false">
      <c r="A172" s="16"/>
      <c r="B172" s="16"/>
      <c r="C172" s="16"/>
      <c r="D172" s="16"/>
      <c r="E172" s="16"/>
      <c r="F172" s="17"/>
      <c r="G172" s="16"/>
      <c r="H172" s="16"/>
      <c r="I172" s="17"/>
      <c r="J172" s="16" t="str">
        <f aca="true">IF(F172="","",IF(I172&lt;&gt;"",I172-F172,TODAY()-F172))</f>
        <v/>
      </c>
      <c r="K172" s="16"/>
    </row>
    <row r="173" customFormat="false" ht="15" hidden="false" customHeight="false" outlineLevel="0" collapsed="false">
      <c r="A173" s="16"/>
      <c r="B173" s="16"/>
      <c r="C173" s="16"/>
      <c r="D173" s="16"/>
      <c r="E173" s="16"/>
      <c r="F173" s="17"/>
      <c r="G173" s="16"/>
      <c r="H173" s="16"/>
      <c r="I173" s="17"/>
      <c r="J173" s="16" t="str">
        <f aca="true">IF(F173="","",IF(I173&lt;&gt;"",I173-F173,TODAY()-F173))</f>
        <v/>
      </c>
      <c r="K173" s="16"/>
    </row>
    <row r="174" customFormat="false" ht="15" hidden="false" customHeight="false" outlineLevel="0" collapsed="false">
      <c r="A174" s="16"/>
      <c r="B174" s="16"/>
      <c r="C174" s="16"/>
      <c r="D174" s="16"/>
      <c r="E174" s="16"/>
      <c r="F174" s="17"/>
      <c r="G174" s="16"/>
      <c r="H174" s="16"/>
      <c r="I174" s="17"/>
      <c r="J174" s="16" t="str">
        <f aca="true">IF(F174="","",IF(I174&lt;&gt;"",I174-F174,TODAY()-F174))</f>
        <v/>
      </c>
      <c r="K174" s="16"/>
    </row>
    <row r="175" customFormat="false" ht="15" hidden="false" customHeight="false" outlineLevel="0" collapsed="false">
      <c r="A175" s="16"/>
      <c r="B175" s="16"/>
      <c r="C175" s="16"/>
      <c r="D175" s="16"/>
      <c r="E175" s="16"/>
      <c r="F175" s="17"/>
      <c r="G175" s="16"/>
      <c r="H175" s="16"/>
      <c r="I175" s="17"/>
      <c r="J175" s="16" t="str">
        <f aca="true">IF(F175="","",IF(I175&lt;&gt;"",I175-F175,TODAY()-F175))</f>
        <v/>
      </c>
      <c r="K175" s="16"/>
    </row>
    <row r="176" customFormat="false" ht="15" hidden="false" customHeight="false" outlineLevel="0" collapsed="false">
      <c r="A176" s="16"/>
      <c r="B176" s="16"/>
      <c r="C176" s="16"/>
      <c r="D176" s="16"/>
      <c r="E176" s="16"/>
      <c r="F176" s="17"/>
      <c r="G176" s="16"/>
      <c r="H176" s="16"/>
      <c r="I176" s="17"/>
      <c r="J176" s="16" t="str">
        <f aca="true">IF(F176="","",IF(I176&lt;&gt;"",I176-F176,TODAY()-F176))</f>
        <v/>
      </c>
      <c r="K176" s="16"/>
    </row>
    <row r="177" customFormat="false" ht="15" hidden="false" customHeight="false" outlineLevel="0" collapsed="false">
      <c r="A177" s="16"/>
      <c r="B177" s="16"/>
      <c r="C177" s="16"/>
      <c r="D177" s="16"/>
      <c r="E177" s="16"/>
      <c r="F177" s="17"/>
      <c r="G177" s="16"/>
      <c r="H177" s="16"/>
      <c r="I177" s="17"/>
      <c r="J177" s="16" t="str">
        <f aca="true">IF(F177="","",IF(I177&lt;&gt;"",I177-F177,TODAY()-F177))</f>
        <v/>
      </c>
      <c r="K177" s="16"/>
    </row>
    <row r="178" customFormat="false" ht="15" hidden="false" customHeight="false" outlineLevel="0" collapsed="false">
      <c r="A178" s="16"/>
      <c r="B178" s="16"/>
      <c r="C178" s="16"/>
      <c r="D178" s="16"/>
      <c r="E178" s="16"/>
      <c r="F178" s="17"/>
      <c r="G178" s="16"/>
      <c r="H178" s="16"/>
      <c r="I178" s="17"/>
      <c r="J178" s="16" t="str">
        <f aca="true">IF(F178="","",IF(I178&lt;&gt;"",I178-F178,TODAY()-F178))</f>
        <v/>
      </c>
      <c r="K178" s="16"/>
    </row>
    <row r="179" customFormat="false" ht="15" hidden="false" customHeight="false" outlineLevel="0" collapsed="false">
      <c r="A179" s="16"/>
      <c r="B179" s="16"/>
      <c r="C179" s="16"/>
      <c r="D179" s="16"/>
      <c r="E179" s="16"/>
      <c r="F179" s="17"/>
      <c r="G179" s="16"/>
      <c r="H179" s="16"/>
      <c r="I179" s="17"/>
      <c r="J179" s="16" t="str">
        <f aca="true">IF(F179="","",IF(I179&lt;&gt;"",I179-F179,TODAY()-F179))</f>
        <v/>
      </c>
      <c r="K179" s="16"/>
    </row>
    <row r="180" customFormat="false" ht="15" hidden="false" customHeight="false" outlineLevel="0" collapsed="false">
      <c r="A180" s="16"/>
      <c r="B180" s="16"/>
      <c r="C180" s="16"/>
      <c r="D180" s="16"/>
      <c r="E180" s="16"/>
      <c r="F180" s="17"/>
      <c r="G180" s="16"/>
      <c r="H180" s="16"/>
      <c r="I180" s="17"/>
      <c r="J180" s="16" t="str">
        <f aca="true">IF(F180="","",IF(I180&lt;&gt;"",I180-F180,TODAY()-F180))</f>
        <v/>
      </c>
      <c r="K180" s="16"/>
    </row>
    <row r="181" customFormat="false" ht="15" hidden="false" customHeight="false" outlineLevel="0" collapsed="false">
      <c r="A181" s="16"/>
      <c r="B181" s="16"/>
      <c r="C181" s="16"/>
      <c r="D181" s="16"/>
      <c r="E181" s="16"/>
      <c r="F181" s="17"/>
      <c r="G181" s="16"/>
      <c r="H181" s="16"/>
      <c r="I181" s="17"/>
      <c r="J181" s="16" t="str">
        <f aca="true">IF(F181="","",IF(I181&lt;&gt;"",I181-F181,TODAY()-F181))</f>
        <v/>
      </c>
      <c r="K181" s="16"/>
    </row>
    <row r="182" customFormat="false" ht="15" hidden="false" customHeight="false" outlineLevel="0" collapsed="false">
      <c r="A182" s="16"/>
      <c r="B182" s="16"/>
      <c r="C182" s="16"/>
      <c r="D182" s="16"/>
      <c r="E182" s="16"/>
      <c r="F182" s="17"/>
      <c r="G182" s="16"/>
      <c r="H182" s="16"/>
      <c r="I182" s="17"/>
      <c r="J182" s="16" t="str">
        <f aca="true">IF(F182="","",IF(I182&lt;&gt;"",I182-F182,TODAY()-F182))</f>
        <v/>
      </c>
      <c r="K182" s="16"/>
    </row>
    <row r="183" customFormat="false" ht="15" hidden="false" customHeight="false" outlineLevel="0" collapsed="false">
      <c r="A183" s="16"/>
      <c r="B183" s="16"/>
      <c r="C183" s="16"/>
      <c r="D183" s="16"/>
      <c r="E183" s="16"/>
      <c r="F183" s="17"/>
      <c r="G183" s="16"/>
      <c r="H183" s="16"/>
      <c r="I183" s="17"/>
      <c r="J183" s="16" t="str">
        <f aca="true">IF(F183="","",IF(I183&lt;&gt;"",I183-F183,TODAY()-F183))</f>
        <v/>
      </c>
      <c r="K183" s="16"/>
    </row>
    <row r="184" customFormat="false" ht="15" hidden="false" customHeight="false" outlineLevel="0" collapsed="false">
      <c r="A184" s="16"/>
      <c r="B184" s="16"/>
      <c r="C184" s="16"/>
      <c r="D184" s="16"/>
      <c r="E184" s="16"/>
      <c r="F184" s="17"/>
      <c r="G184" s="16"/>
      <c r="H184" s="16"/>
      <c r="I184" s="17"/>
      <c r="J184" s="16" t="str">
        <f aca="true">IF(F184="","",IF(I184&lt;&gt;"",I184-F184,TODAY()-F184))</f>
        <v/>
      </c>
      <c r="K184" s="16"/>
    </row>
    <row r="185" customFormat="false" ht="15" hidden="false" customHeight="false" outlineLevel="0" collapsed="false">
      <c r="A185" s="16"/>
      <c r="B185" s="16"/>
      <c r="C185" s="16"/>
      <c r="D185" s="16"/>
      <c r="E185" s="16"/>
      <c r="F185" s="17"/>
      <c r="G185" s="16"/>
      <c r="H185" s="16"/>
      <c r="I185" s="17"/>
      <c r="J185" s="16" t="str">
        <f aca="true">IF(F185="","",IF(I185&lt;&gt;"",I185-F185,TODAY()-F185))</f>
        <v/>
      </c>
      <c r="K185" s="16"/>
    </row>
    <row r="186" customFormat="false" ht="15" hidden="false" customHeight="false" outlineLevel="0" collapsed="false">
      <c r="A186" s="16"/>
      <c r="B186" s="16"/>
      <c r="C186" s="16"/>
      <c r="D186" s="16"/>
      <c r="E186" s="16"/>
      <c r="F186" s="17"/>
      <c r="G186" s="16"/>
      <c r="H186" s="16"/>
      <c r="I186" s="17"/>
      <c r="J186" s="16" t="str">
        <f aca="true">IF(F186="","",IF(I186&lt;&gt;"",I186-F186,TODAY()-F186))</f>
        <v/>
      </c>
      <c r="K186" s="16"/>
    </row>
    <row r="187" customFormat="false" ht="15" hidden="false" customHeight="false" outlineLevel="0" collapsed="false">
      <c r="A187" s="16"/>
      <c r="B187" s="16"/>
      <c r="C187" s="16"/>
      <c r="D187" s="16"/>
      <c r="E187" s="16"/>
      <c r="F187" s="17"/>
      <c r="G187" s="16"/>
      <c r="H187" s="16"/>
      <c r="I187" s="17"/>
      <c r="J187" s="16" t="str">
        <f aca="true">IF(F187="","",IF(I187&lt;&gt;"",I187-F187,TODAY()-F187))</f>
        <v/>
      </c>
      <c r="K187" s="16"/>
    </row>
    <row r="188" customFormat="false" ht="15" hidden="false" customHeight="false" outlineLevel="0" collapsed="false">
      <c r="A188" s="16"/>
      <c r="B188" s="16"/>
      <c r="C188" s="16"/>
      <c r="D188" s="16"/>
      <c r="E188" s="16"/>
      <c r="F188" s="17"/>
      <c r="G188" s="16"/>
      <c r="H188" s="16"/>
      <c r="I188" s="17"/>
      <c r="J188" s="16" t="str">
        <f aca="true">IF(F188="","",IF(I188&lt;&gt;"",I188-F188,TODAY()-F188))</f>
        <v/>
      </c>
      <c r="K188" s="16"/>
    </row>
    <row r="189" customFormat="false" ht="15" hidden="false" customHeight="false" outlineLevel="0" collapsed="false">
      <c r="A189" s="16"/>
      <c r="B189" s="16"/>
      <c r="C189" s="16"/>
      <c r="D189" s="16"/>
      <c r="E189" s="16"/>
      <c r="F189" s="17"/>
      <c r="G189" s="16"/>
      <c r="H189" s="16"/>
      <c r="I189" s="17"/>
      <c r="J189" s="16" t="str">
        <f aca="true">IF(F189="","",IF(I189&lt;&gt;"",I189-F189,TODAY()-F189))</f>
        <v/>
      </c>
      <c r="K189" s="16"/>
    </row>
    <row r="190" customFormat="false" ht="15" hidden="false" customHeight="false" outlineLevel="0" collapsed="false">
      <c r="A190" s="16"/>
      <c r="B190" s="16"/>
      <c r="C190" s="16"/>
      <c r="D190" s="16"/>
      <c r="E190" s="16"/>
      <c r="F190" s="17"/>
      <c r="G190" s="16"/>
      <c r="H190" s="16"/>
      <c r="I190" s="17"/>
      <c r="J190" s="16" t="str">
        <f aca="true">IF(F190="","",IF(I190&lt;&gt;"",I190-F190,TODAY()-F190))</f>
        <v/>
      </c>
      <c r="K190" s="16"/>
    </row>
    <row r="191" customFormat="false" ht="15" hidden="false" customHeight="false" outlineLevel="0" collapsed="false">
      <c r="A191" s="16"/>
      <c r="B191" s="16"/>
      <c r="C191" s="16"/>
      <c r="D191" s="16"/>
      <c r="E191" s="16"/>
      <c r="F191" s="17"/>
      <c r="G191" s="16"/>
      <c r="H191" s="16"/>
      <c r="I191" s="17"/>
      <c r="J191" s="16" t="str">
        <f aca="true">IF(F191="","",IF(I191&lt;&gt;"",I191-F191,TODAY()-F191))</f>
        <v/>
      </c>
      <c r="K191" s="16"/>
    </row>
    <row r="192" customFormat="false" ht="15" hidden="false" customHeight="false" outlineLevel="0" collapsed="false">
      <c r="A192" s="16"/>
      <c r="B192" s="16"/>
      <c r="C192" s="16"/>
      <c r="D192" s="16"/>
      <c r="E192" s="16"/>
      <c r="F192" s="17"/>
      <c r="G192" s="16"/>
      <c r="H192" s="16"/>
      <c r="I192" s="17"/>
      <c r="J192" s="16" t="str">
        <f aca="true">IF(F192="","",IF(I192&lt;&gt;"",I192-F192,TODAY()-F192))</f>
        <v/>
      </c>
      <c r="K192" s="16"/>
    </row>
    <row r="193" customFormat="false" ht="15" hidden="false" customHeight="false" outlineLevel="0" collapsed="false">
      <c r="A193" s="16"/>
      <c r="B193" s="16"/>
      <c r="C193" s="16"/>
      <c r="D193" s="16"/>
      <c r="E193" s="16"/>
      <c r="F193" s="17"/>
      <c r="G193" s="16"/>
      <c r="H193" s="16"/>
      <c r="I193" s="17"/>
      <c r="J193" s="16" t="str">
        <f aca="true">IF(F193="","",IF(I193&lt;&gt;"",I193-F193,TODAY()-F193))</f>
        <v/>
      </c>
      <c r="K193" s="16"/>
    </row>
    <row r="194" customFormat="false" ht="15" hidden="false" customHeight="false" outlineLevel="0" collapsed="false">
      <c r="A194" s="16"/>
      <c r="B194" s="16"/>
      <c r="C194" s="16"/>
      <c r="D194" s="16"/>
      <c r="E194" s="16"/>
      <c r="F194" s="17"/>
      <c r="G194" s="16"/>
      <c r="H194" s="16"/>
      <c r="I194" s="17"/>
      <c r="J194" s="16" t="str">
        <f aca="true">IF(F194="","",IF(I194&lt;&gt;"",I194-F194,TODAY()-F194))</f>
        <v/>
      </c>
      <c r="K194" s="16"/>
    </row>
    <row r="195" customFormat="false" ht="15" hidden="false" customHeight="false" outlineLevel="0" collapsed="false">
      <c r="A195" s="16"/>
      <c r="B195" s="16"/>
      <c r="C195" s="16"/>
      <c r="D195" s="16"/>
      <c r="E195" s="16"/>
      <c r="F195" s="17"/>
      <c r="G195" s="16"/>
      <c r="H195" s="16"/>
      <c r="I195" s="17"/>
      <c r="J195" s="16" t="str">
        <f aca="true">IF(F195="","",IF(I195&lt;&gt;"",I195-F195,TODAY()-F195))</f>
        <v/>
      </c>
      <c r="K195" s="16"/>
    </row>
    <row r="196" customFormat="false" ht="15" hidden="false" customHeight="false" outlineLevel="0" collapsed="false">
      <c r="A196" s="16"/>
      <c r="B196" s="16"/>
      <c r="C196" s="16"/>
      <c r="D196" s="16"/>
      <c r="E196" s="16"/>
      <c r="F196" s="17"/>
      <c r="G196" s="16"/>
      <c r="H196" s="16"/>
      <c r="I196" s="17"/>
      <c r="J196" s="16" t="str">
        <f aca="true">IF(F196="","",IF(I196&lt;&gt;"",I196-F196,TODAY()-F196))</f>
        <v/>
      </c>
      <c r="K196" s="16"/>
    </row>
    <row r="197" customFormat="false" ht="15" hidden="false" customHeight="false" outlineLevel="0" collapsed="false">
      <c r="A197" s="16"/>
      <c r="B197" s="16"/>
      <c r="C197" s="16"/>
      <c r="D197" s="16"/>
      <c r="E197" s="16"/>
      <c r="F197" s="17"/>
      <c r="G197" s="16"/>
      <c r="H197" s="16"/>
      <c r="I197" s="17"/>
      <c r="J197" s="16" t="str">
        <f aca="true">IF(F197="","",IF(I197&lt;&gt;"",I197-F197,TODAY()-F197))</f>
        <v/>
      </c>
      <c r="K197" s="16"/>
    </row>
    <row r="198" customFormat="false" ht="15" hidden="false" customHeight="false" outlineLevel="0" collapsed="false">
      <c r="A198" s="16"/>
      <c r="B198" s="16"/>
      <c r="C198" s="16"/>
      <c r="D198" s="16"/>
      <c r="E198" s="16"/>
      <c r="F198" s="17"/>
      <c r="G198" s="16"/>
      <c r="H198" s="16"/>
      <c r="I198" s="17"/>
      <c r="J198" s="16" t="str">
        <f aca="true">IF(F198="","",IF(I198&lt;&gt;"",I198-F198,TODAY()-F198))</f>
        <v/>
      </c>
      <c r="K198" s="16"/>
    </row>
    <row r="199" customFormat="false" ht="15" hidden="false" customHeight="false" outlineLevel="0" collapsed="false">
      <c r="A199" s="16"/>
      <c r="B199" s="16"/>
      <c r="C199" s="16"/>
      <c r="D199" s="16"/>
      <c r="E199" s="16"/>
      <c r="F199" s="17"/>
      <c r="G199" s="16"/>
      <c r="H199" s="16"/>
      <c r="I199" s="17"/>
      <c r="J199" s="16" t="str">
        <f aca="true">IF(F199="","",IF(I199&lt;&gt;"",I199-F199,TODAY()-F199))</f>
        <v/>
      </c>
      <c r="K199" s="16"/>
    </row>
    <row r="200" customFormat="false" ht="15" hidden="false" customHeight="false" outlineLevel="0" collapsed="false">
      <c r="A200" s="16"/>
      <c r="B200" s="16"/>
      <c r="C200" s="16"/>
      <c r="D200" s="16"/>
      <c r="E200" s="16"/>
      <c r="F200" s="17"/>
      <c r="G200" s="16"/>
      <c r="H200" s="16"/>
      <c r="I200" s="17"/>
      <c r="J200" s="16" t="str">
        <f aca="true">IF(F200="","",IF(I200&lt;&gt;"",I200-F200,TODAY()-F200))</f>
        <v/>
      </c>
      <c r="K200" s="16"/>
    </row>
    <row r="201" customFormat="false" ht="15" hidden="false" customHeight="false" outlineLevel="0" collapsed="false">
      <c r="A201" s="16"/>
      <c r="B201" s="16"/>
      <c r="C201" s="16"/>
      <c r="D201" s="16"/>
      <c r="E201" s="16"/>
      <c r="F201" s="17"/>
      <c r="G201" s="16"/>
      <c r="H201" s="16"/>
      <c r="I201" s="17"/>
      <c r="J201" s="16" t="str">
        <f aca="true">IF(F201="","",IF(I201&lt;&gt;"",I201-F201,TODAY()-F201))</f>
        <v/>
      </c>
      <c r="K201" s="16"/>
    </row>
    <row r="202" customFormat="false" ht="15" hidden="false" customHeight="false" outlineLevel="0" collapsed="false">
      <c r="A202" s="16"/>
      <c r="B202" s="16"/>
      <c r="C202" s="16"/>
      <c r="D202" s="16"/>
      <c r="E202" s="16"/>
      <c r="F202" s="17"/>
      <c r="G202" s="16"/>
      <c r="H202" s="16"/>
      <c r="I202" s="17"/>
      <c r="J202" s="16" t="str">
        <f aca="true">IF(F202="","",IF(I202&lt;&gt;"",I202-F202,TODAY()-F202))</f>
        <v/>
      </c>
      <c r="K202" s="16"/>
    </row>
    <row r="203" customFormat="false" ht="15" hidden="false" customHeight="false" outlineLevel="0" collapsed="false">
      <c r="A203" s="16"/>
      <c r="B203" s="16"/>
      <c r="C203" s="16"/>
      <c r="D203" s="16"/>
      <c r="E203" s="16"/>
      <c r="F203" s="17"/>
      <c r="G203" s="16"/>
      <c r="H203" s="16"/>
      <c r="I203" s="17"/>
      <c r="J203" s="16" t="str">
        <f aca="true">IF(F203="","",IF(I203&lt;&gt;"",I203-F203,TODAY()-F203))</f>
        <v/>
      </c>
      <c r="K203" s="16"/>
    </row>
    <row r="204" customFormat="false" ht="15" hidden="false" customHeight="false" outlineLevel="0" collapsed="false">
      <c r="A204" s="16"/>
      <c r="B204" s="16"/>
      <c r="C204" s="16"/>
      <c r="D204" s="16"/>
      <c r="E204" s="16"/>
      <c r="F204" s="17"/>
      <c r="G204" s="16"/>
      <c r="H204" s="16"/>
      <c r="I204" s="17"/>
      <c r="J204" s="16" t="str">
        <f aca="true">IF(F204="","",IF(I204&lt;&gt;"",I204-F204,TODAY()-F204))</f>
        <v/>
      </c>
      <c r="K204" s="16"/>
    </row>
    <row r="205" customFormat="false" ht="15" hidden="false" customHeight="false" outlineLevel="0" collapsed="false">
      <c r="A205" s="16"/>
      <c r="B205" s="16"/>
      <c r="C205" s="16"/>
      <c r="D205" s="16"/>
      <c r="E205" s="16"/>
      <c r="F205" s="17"/>
      <c r="G205" s="16"/>
      <c r="H205" s="16"/>
      <c r="I205" s="17"/>
      <c r="J205" s="16" t="str">
        <f aca="true">IF(F205="","",IF(I205&lt;&gt;"",I205-F205,TODAY()-F205))</f>
        <v/>
      </c>
      <c r="K205" s="16"/>
    </row>
    <row r="206" customFormat="false" ht="15" hidden="false" customHeight="false" outlineLevel="0" collapsed="false">
      <c r="A206" s="16"/>
      <c r="B206" s="16"/>
      <c r="C206" s="16"/>
      <c r="D206" s="16"/>
      <c r="E206" s="16"/>
      <c r="F206" s="17"/>
      <c r="G206" s="16"/>
      <c r="H206" s="16"/>
      <c r="I206" s="17"/>
      <c r="J206" s="16" t="str">
        <f aca="true">IF(F206="","",IF(I206&lt;&gt;"",I206-F206,TODAY()-F206))</f>
        <v/>
      </c>
      <c r="K206" s="16"/>
    </row>
    <row r="207" customFormat="false" ht="15" hidden="false" customHeight="false" outlineLevel="0" collapsed="false">
      <c r="A207" s="16"/>
      <c r="B207" s="16"/>
      <c r="C207" s="16"/>
      <c r="D207" s="16"/>
      <c r="E207" s="16"/>
      <c r="F207" s="17"/>
      <c r="G207" s="16"/>
      <c r="H207" s="16"/>
      <c r="I207" s="17"/>
      <c r="J207" s="16" t="str">
        <f aca="true">IF(F207="","",IF(I207&lt;&gt;"",I207-F207,TODAY()-F207))</f>
        <v/>
      </c>
      <c r="K207" s="16"/>
    </row>
    <row r="208" customFormat="false" ht="15" hidden="false" customHeight="false" outlineLevel="0" collapsed="false">
      <c r="A208" s="16"/>
      <c r="B208" s="16"/>
      <c r="C208" s="16"/>
      <c r="D208" s="16"/>
      <c r="E208" s="16"/>
      <c r="F208" s="17"/>
      <c r="G208" s="16"/>
      <c r="H208" s="16"/>
      <c r="I208" s="17"/>
      <c r="J208" s="16" t="str">
        <f aca="true">IF(F208="","",IF(I208&lt;&gt;"",I208-F208,TODAY()-F208))</f>
        <v/>
      </c>
      <c r="K208" s="16"/>
    </row>
    <row r="209" customFormat="false" ht="15" hidden="false" customHeight="false" outlineLevel="0" collapsed="false">
      <c r="A209" s="16"/>
      <c r="B209" s="16"/>
      <c r="C209" s="16"/>
      <c r="D209" s="16"/>
      <c r="E209" s="16"/>
      <c r="F209" s="17"/>
      <c r="G209" s="16"/>
      <c r="H209" s="16"/>
      <c r="I209" s="17"/>
      <c r="J209" s="16" t="str">
        <f aca="true">IF(F209="","",IF(I209&lt;&gt;"",I209-F209,TODAY()-F209))</f>
        <v/>
      </c>
      <c r="K209" s="16"/>
    </row>
    <row r="210" customFormat="false" ht="15" hidden="false" customHeight="false" outlineLevel="0" collapsed="false">
      <c r="A210" s="16"/>
      <c r="B210" s="16"/>
      <c r="C210" s="16"/>
      <c r="D210" s="16"/>
      <c r="E210" s="16"/>
      <c r="F210" s="17"/>
      <c r="G210" s="16"/>
      <c r="H210" s="16"/>
      <c r="I210" s="17"/>
      <c r="J210" s="16" t="str">
        <f aca="true">IF(F210="","",IF(I210&lt;&gt;"",I210-F210,TODAY()-F210))</f>
        <v/>
      </c>
      <c r="K210" s="16"/>
    </row>
    <row r="211" customFormat="false" ht="15" hidden="false" customHeight="false" outlineLevel="0" collapsed="false">
      <c r="A211" s="16"/>
      <c r="B211" s="16"/>
      <c r="C211" s="16"/>
      <c r="D211" s="16"/>
      <c r="E211" s="16"/>
      <c r="F211" s="17"/>
      <c r="G211" s="16"/>
      <c r="H211" s="16"/>
      <c r="I211" s="17"/>
      <c r="J211" s="16" t="str">
        <f aca="true">IF(F211="","",IF(I211&lt;&gt;"",I211-F211,TODAY()-F211))</f>
        <v/>
      </c>
      <c r="K211" s="16"/>
    </row>
    <row r="212" customFormat="false" ht="15" hidden="false" customHeight="false" outlineLevel="0" collapsed="false">
      <c r="A212" s="16"/>
      <c r="B212" s="16"/>
      <c r="C212" s="16"/>
      <c r="D212" s="16"/>
      <c r="E212" s="16"/>
      <c r="F212" s="17"/>
      <c r="G212" s="16"/>
      <c r="H212" s="16"/>
      <c r="I212" s="17"/>
      <c r="J212" s="16" t="str">
        <f aca="true">IF(F212="","",IF(I212&lt;&gt;"",I212-F212,TODAY()-F212))</f>
        <v/>
      </c>
      <c r="K212" s="16"/>
    </row>
    <row r="213" customFormat="false" ht="15" hidden="false" customHeight="false" outlineLevel="0" collapsed="false">
      <c r="A213" s="16"/>
      <c r="B213" s="16"/>
      <c r="C213" s="16"/>
      <c r="D213" s="16"/>
      <c r="E213" s="16"/>
      <c r="F213" s="17"/>
      <c r="G213" s="16"/>
      <c r="H213" s="16"/>
      <c r="I213" s="17"/>
      <c r="J213" s="16" t="str">
        <f aca="true">IF(F213="","",IF(I213&lt;&gt;"",I213-F213,TODAY()-F213))</f>
        <v/>
      </c>
      <c r="K213" s="16"/>
    </row>
    <row r="214" customFormat="false" ht="15" hidden="false" customHeight="false" outlineLevel="0" collapsed="false">
      <c r="A214" s="16"/>
      <c r="B214" s="16"/>
      <c r="C214" s="16"/>
      <c r="D214" s="16"/>
      <c r="E214" s="16"/>
      <c r="F214" s="17"/>
      <c r="G214" s="16"/>
      <c r="H214" s="16"/>
      <c r="I214" s="17"/>
      <c r="J214" s="16" t="str">
        <f aca="true">IF(F214="","",IF(I214&lt;&gt;"",I214-F214,TODAY()-F214))</f>
        <v/>
      </c>
      <c r="K214" s="16"/>
    </row>
    <row r="215" customFormat="false" ht="15" hidden="false" customHeight="false" outlineLevel="0" collapsed="false">
      <c r="A215" s="16"/>
      <c r="B215" s="16"/>
      <c r="C215" s="16"/>
      <c r="D215" s="16"/>
      <c r="E215" s="16"/>
      <c r="F215" s="17"/>
      <c r="G215" s="16"/>
      <c r="H215" s="16"/>
      <c r="I215" s="17"/>
      <c r="J215" s="16" t="str">
        <f aca="true">IF(F215="","",IF(I215&lt;&gt;"",I215-F215,TODAY()-F215))</f>
        <v/>
      </c>
      <c r="K215" s="16"/>
    </row>
    <row r="216" customFormat="false" ht="15" hidden="false" customHeight="false" outlineLevel="0" collapsed="false">
      <c r="A216" s="16"/>
      <c r="B216" s="16"/>
      <c r="C216" s="16"/>
      <c r="D216" s="16"/>
      <c r="E216" s="16"/>
      <c r="F216" s="17"/>
      <c r="G216" s="16"/>
      <c r="H216" s="16"/>
      <c r="I216" s="17"/>
      <c r="J216" s="16" t="str">
        <f aca="true">IF(F216="","",IF(I216&lt;&gt;"",I216-F216,TODAY()-F216))</f>
        <v/>
      </c>
      <c r="K216" s="16"/>
    </row>
    <row r="217" customFormat="false" ht="15" hidden="false" customHeight="false" outlineLevel="0" collapsed="false">
      <c r="A217" s="16"/>
      <c r="B217" s="16"/>
      <c r="C217" s="16"/>
      <c r="D217" s="16"/>
      <c r="E217" s="16"/>
      <c r="F217" s="17"/>
      <c r="G217" s="16"/>
      <c r="H217" s="16"/>
      <c r="I217" s="17"/>
      <c r="J217" s="16" t="str">
        <f aca="true">IF(F217="","",IF(I217&lt;&gt;"",I217-F217,TODAY()-F217))</f>
        <v/>
      </c>
      <c r="K217" s="16"/>
    </row>
    <row r="218" customFormat="false" ht="15" hidden="false" customHeight="false" outlineLevel="0" collapsed="false">
      <c r="A218" s="16"/>
      <c r="B218" s="16"/>
      <c r="C218" s="16"/>
      <c r="D218" s="16"/>
      <c r="E218" s="16"/>
      <c r="F218" s="17"/>
      <c r="G218" s="16"/>
      <c r="H218" s="16"/>
      <c r="I218" s="17"/>
      <c r="J218" s="16" t="str">
        <f aca="true">IF(F218="","",IF(I218&lt;&gt;"",I218-F218,TODAY()-F218))</f>
        <v/>
      </c>
      <c r="K218" s="16"/>
    </row>
    <row r="219" customFormat="false" ht="15" hidden="false" customHeight="false" outlineLevel="0" collapsed="false">
      <c r="A219" s="16"/>
      <c r="B219" s="16"/>
      <c r="C219" s="16"/>
      <c r="D219" s="16"/>
      <c r="E219" s="16"/>
      <c r="F219" s="17"/>
      <c r="G219" s="16"/>
      <c r="H219" s="16"/>
      <c r="I219" s="17"/>
      <c r="J219" s="16" t="str">
        <f aca="true">IF(F219="","",IF(I219&lt;&gt;"",I219-F219,TODAY()-F219))</f>
        <v/>
      </c>
      <c r="K219" s="16"/>
    </row>
    <row r="220" customFormat="false" ht="15" hidden="false" customHeight="false" outlineLevel="0" collapsed="false">
      <c r="A220" s="16"/>
      <c r="B220" s="16"/>
      <c r="C220" s="16"/>
      <c r="D220" s="16"/>
      <c r="E220" s="16"/>
      <c r="F220" s="17"/>
      <c r="G220" s="16"/>
      <c r="H220" s="16"/>
      <c r="I220" s="17"/>
      <c r="J220" s="16" t="str">
        <f aca="true">IF(F220="","",IF(I220&lt;&gt;"",I220-F220,TODAY()-F220))</f>
        <v/>
      </c>
      <c r="K220" s="16"/>
    </row>
    <row r="221" customFormat="false" ht="15" hidden="false" customHeight="false" outlineLevel="0" collapsed="false">
      <c r="A221" s="16"/>
      <c r="B221" s="16"/>
      <c r="C221" s="16"/>
      <c r="D221" s="16"/>
      <c r="E221" s="16"/>
      <c r="F221" s="17"/>
      <c r="G221" s="16"/>
      <c r="H221" s="16"/>
      <c r="I221" s="17"/>
      <c r="J221" s="16" t="str">
        <f aca="true">IF(F221="","",IF(I221&lt;&gt;"",I221-F221,TODAY()-F221))</f>
        <v/>
      </c>
      <c r="K221" s="16"/>
    </row>
    <row r="222" customFormat="false" ht="15" hidden="false" customHeight="false" outlineLevel="0" collapsed="false">
      <c r="A222" s="16"/>
      <c r="B222" s="16"/>
      <c r="C222" s="16"/>
      <c r="D222" s="16"/>
      <c r="E222" s="16"/>
      <c r="F222" s="17"/>
      <c r="G222" s="16"/>
      <c r="H222" s="16"/>
      <c r="I222" s="17"/>
      <c r="J222" s="16" t="str">
        <f aca="true">IF(F222="","",IF(I222&lt;&gt;"",I222-F222,TODAY()-F222))</f>
        <v/>
      </c>
      <c r="K222" s="16"/>
    </row>
    <row r="223" customFormat="false" ht="15" hidden="false" customHeight="false" outlineLevel="0" collapsed="false">
      <c r="A223" s="16"/>
      <c r="B223" s="16"/>
      <c r="C223" s="16"/>
      <c r="D223" s="16"/>
      <c r="E223" s="16"/>
      <c r="F223" s="17"/>
      <c r="G223" s="16"/>
      <c r="H223" s="16"/>
      <c r="I223" s="17"/>
      <c r="J223" s="16" t="str">
        <f aca="true">IF(F223="","",IF(I223&lt;&gt;"",I223-F223,TODAY()-F223))</f>
        <v/>
      </c>
      <c r="K223" s="16"/>
    </row>
    <row r="224" customFormat="false" ht="15" hidden="false" customHeight="false" outlineLevel="0" collapsed="false">
      <c r="A224" s="16"/>
      <c r="B224" s="16"/>
      <c r="C224" s="16"/>
      <c r="D224" s="16"/>
      <c r="E224" s="16"/>
      <c r="F224" s="17"/>
      <c r="G224" s="16"/>
      <c r="H224" s="16"/>
      <c r="I224" s="17"/>
      <c r="J224" s="16" t="str">
        <f aca="true">IF(F224="","",IF(I224&lt;&gt;"",I224-F224,TODAY()-F224))</f>
        <v/>
      </c>
      <c r="K224" s="16"/>
    </row>
    <row r="225" customFormat="false" ht="15" hidden="false" customHeight="false" outlineLevel="0" collapsed="false">
      <c r="A225" s="16"/>
      <c r="B225" s="16"/>
      <c r="C225" s="16"/>
      <c r="D225" s="16"/>
      <c r="E225" s="16"/>
      <c r="F225" s="17"/>
      <c r="G225" s="16"/>
      <c r="H225" s="16"/>
      <c r="I225" s="17"/>
      <c r="J225" s="16" t="str">
        <f aca="true">IF(F225="","",IF(I225&lt;&gt;"",I225-F225,TODAY()-F225))</f>
        <v/>
      </c>
      <c r="K225" s="16"/>
    </row>
    <row r="226" customFormat="false" ht="15" hidden="false" customHeight="false" outlineLevel="0" collapsed="false">
      <c r="A226" s="16"/>
      <c r="B226" s="16"/>
      <c r="C226" s="16"/>
      <c r="D226" s="16"/>
      <c r="E226" s="16"/>
      <c r="F226" s="17"/>
      <c r="G226" s="16"/>
      <c r="H226" s="16"/>
      <c r="I226" s="17"/>
      <c r="J226" s="16" t="str">
        <f aca="true">IF(F226="","",IF(I226&lt;&gt;"",I226-F226,TODAY()-F226))</f>
        <v/>
      </c>
      <c r="K226" s="16"/>
    </row>
    <row r="227" customFormat="false" ht="15" hidden="false" customHeight="false" outlineLevel="0" collapsed="false">
      <c r="A227" s="16"/>
      <c r="B227" s="16"/>
      <c r="C227" s="16"/>
      <c r="D227" s="16"/>
      <c r="E227" s="16"/>
      <c r="F227" s="17"/>
      <c r="G227" s="16"/>
      <c r="H227" s="16"/>
      <c r="I227" s="17"/>
      <c r="J227" s="16" t="str">
        <f aca="true">IF(F227="","",IF(I227&lt;&gt;"",I227-F227,TODAY()-F227))</f>
        <v/>
      </c>
      <c r="K227" s="16"/>
    </row>
    <row r="228" customFormat="false" ht="15" hidden="false" customHeight="false" outlineLevel="0" collapsed="false">
      <c r="A228" s="16"/>
      <c r="B228" s="16"/>
      <c r="C228" s="16"/>
      <c r="D228" s="16"/>
      <c r="E228" s="16"/>
      <c r="F228" s="17"/>
      <c r="G228" s="16"/>
      <c r="H228" s="16"/>
      <c r="I228" s="17"/>
      <c r="J228" s="16" t="str">
        <f aca="true">IF(F228="","",IF(I228&lt;&gt;"",I228-F228,TODAY()-F228))</f>
        <v/>
      </c>
      <c r="K228" s="16"/>
    </row>
    <row r="229" customFormat="false" ht="15" hidden="false" customHeight="false" outlineLevel="0" collapsed="false">
      <c r="A229" s="16"/>
      <c r="B229" s="16"/>
      <c r="C229" s="16"/>
      <c r="D229" s="16"/>
      <c r="E229" s="16"/>
      <c r="F229" s="17"/>
      <c r="G229" s="16"/>
      <c r="H229" s="16"/>
      <c r="I229" s="17"/>
      <c r="J229" s="16" t="str">
        <f aca="true">IF(F229="","",IF(I229&lt;&gt;"",I229-F229,TODAY()-F229))</f>
        <v/>
      </c>
      <c r="K229" s="16"/>
    </row>
    <row r="230" customFormat="false" ht="15" hidden="false" customHeight="false" outlineLevel="0" collapsed="false">
      <c r="A230" s="16"/>
      <c r="B230" s="16"/>
      <c r="C230" s="16"/>
      <c r="D230" s="16"/>
      <c r="E230" s="16"/>
      <c r="F230" s="17"/>
      <c r="G230" s="16"/>
      <c r="H230" s="16"/>
      <c r="I230" s="17"/>
      <c r="J230" s="16" t="str">
        <f aca="true">IF(F230="","",IF(I230&lt;&gt;"",I230-F230,TODAY()-F230))</f>
        <v/>
      </c>
      <c r="K230" s="16"/>
    </row>
    <row r="231" customFormat="false" ht="15" hidden="false" customHeight="false" outlineLevel="0" collapsed="false">
      <c r="A231" s="16"/>
      <c r="B231" s="16"/>
      <c r="C231" s="16"/>
      <c r="D231" s="16"/>
      <c r="E231" s="16"/>
      <c r="F231" s="17"/>
      <c r="G231" s="16"/>
      <c r="H231" s="16"/>
      <c r="I231" s="17"/>
      <c r="J231" s="16" t="str">
        <f aca="true">IF(F231="","",IF(I231&lt;&gt;"",I231-F231,TODAY()-F231))</f>
        <v/>
      </c>
      <c r="K231" s="16"/>
    </row>
    <row r="232" customFormat="false" ht="15" hidden="false" customHeight="false" outlineLevel="0" collapsed="false">
      <c r="A232" s="16"/>
      <c r="B232" s="16"/>
      <c r="C232" s="16"/>
      <c r="D232" s="16"/>
      <c r="E232" s="16"/>
      <c r="F232" s="17"/>
      <c r="G232" s="16"/>
      <c r="H232" s="16"/>
      <c r="I232" s="17"/>
      <c r="J232" s="16" t="str">
        <f aca="true">IF(F232="","",IF(I232&lt;&gt;"",I232-F232,TODAY()-F232))</f>
        <v/>
      </c>
      <c r="K232" s="16"/>
    </row>
    <row r="233" customFormat="false" ht="15" hidden="false" customHeight="false" outlineLevel="0" collapsed="false">
      <c r="A233" s="16"/>
      <c r="B233" s="16"/>
      <c r="C233" s="16"/>
      <c r="D233" s="16"/>
      <c r="E233" s="16"/>
      <c r="F233" s="17"/>
      <c r="G233" s="16"/>
      <c r="H233" s="16"/>
      <c r="I233" s="17"/>
      <c r="J233" s="16" t="str">
        <f aca="true">IF(F233="","",IF(I233&lt;&gt;"",I233-F233,TODAY()-F233))</f>
        <v/>
      </c>
      <c r="K233" s="16"/>
    </row>
    <row r="234" customFormat="false" ht="15" hidden="false" customHeight="false" outlineLevel="0" collapsed="false">
      <c r="A234" s="16"/>
      <c r="B234" s="16"/>
      <c r="C234" s="16"/>
      <c r="D234" s="16"/>
      <c r="E234" s="16"/>
      <c r="F234" s="17"/>
      <c r="G234" s="16"/>
      <c r="H234" s="16"/>
      <c r="I234" s="17"/>
      <c r="J234" s="16" t="str">
        <f aca="true">IF(F234="","",IF(I234&lt;&gt;"",I234-F234,TODAY()-F234))</f>
        <v/>
      </c>
      <c r="K234" s="16"/>
    </row>
    <row r="235" customFormat="false" ht="15" hidden="false" customHeight="false" outlineLevel="0" collapsed="false">
      <c r="A235" s="16"/>
      <c r="B235" s="16"/>
      <c r="C235" s="16"/>
      <c r="D235" s="16"/>
      <c r="E235" s="16"/>
      <c r="F235" s="17"/>
      <c r="G235" s="16"/>
      <c r="H235" s="16"/>
      <c r="I235" s="17"/>
      <c r="J235" s="16" t="str">
        <f aca="true">IF(F235="","",IF(I235&lt;&gt;"",I235-F235,TODAY()-F235))</f>
        <v/>
      </c>
      <c r="K235" s="16"/>
    </row>
    <row r="236" customFormat="false" ht="15" hidden="false" customHeight="false" outlineLevel="0" collapsed="false">
      <c r="A236" s="16"/>
      <c r="B236" s="16"/>
      <c r="C236" s="16"/>
      <c r="D236" s="16"/>
      <c r="E236" s="16"/>
      <c r="F236" s="17"/>
      <c r="G236" s="16"/>
      <c r="H236" s="16"/>
      <c r="I236" s="17"/>
      <c r="J236" s="16" t="str">
        <f aca="true">IF(F236="","",IF(I236&lt;&gt;"",I236-F236,TODAY()-F236))</f>
        <v/>
      </c>
      <c r="K236" s="16"/>
    </row>
    <row r="237" customFormat="false" ht="15" hidden="false" customHeight="false" outlineLevel="0" collapsed="false">
      <c r="A237" s="16"/>
      <c r="B237" s="16"/>
      <c r="C237" s="16"/>
      <c r="D237" s="16"/>
      <c r="E237" s="16"/>
      <c r="F237" s="17"/>
      <c r="G237" s="16"/>
      <c r="H237" s="16"/>
      <c r="I237" s="17"/>
      <c r="J237" s="16" t="str">
        <f aca="true">IF(F237="","",IF(I237&lt;&gt;"",I237-F237,TODAY()-F237))</f>
        <v/>
      </c>
      <c r="K237" s="16"/>
    </row>
    <row r="238" customFormat="false" ht="15" hidden="false" customHeight="false" outlineLevel="0" collapsed="false">
      <c r="A238" s="16"/>
      <c r="B238" s="16"/>
      <c r="C238" s="16"/>
      <c r="D238" s="16"/>
      <c r="E238" s="16"/>
      <c r="F238" s="17"/>
      <c r="G238" s="16"/>
      <c r="H238" s="16"/>
      <c r="I238" s="17"/>
      <c r="J238" s="16" t="str">
        <f aca="true">IF(F238="","",IF(I238&lt;&gt;"",I238-F238,TODAY()-F238))</f>
        <v/>
      </c>
      <c r="K238" s="16"/>
    </row>
    <row r="239" customFormat="false" ht="15" hidden="false" customHeight="false" outlineLevel="0" collapsed="false">
      <c r="A239" s="16"/>
      <c r="B239" s="16"/>
      <c r="C239" s="16"/>
      <c r="D239" s="16"/>
      <c r="E239" s="16"/>
      <c r="F239" s="17"/>
      <c r="G239" s="16"/>
      <c r="H239" s="16"/>
      <c r="I239" s="17"/>
      <c r="J239" s="16" t="str">
        <f aca="true">IF(F239="","",IF(I239&lt;&gt;"",I239-F239,TODAY()-F239))</f>
        <v/>
      </c>
      <c r="K239" s="16"/>
    </row>
    <row r="240" customFormat="false" ht="15" hidden="false" customHeight="false" outlineLevel="0" collapsed="false">
      <c r="A240" s="16"/>
      <c r="B240" s="16"/>
      <c r="C240" s="16"/>
      <c r="D240" s="16"/>
      <c r="E240" s="16"/>
      <c r="F240" s="17"/>
      <c r="G240" s="16"/>
      <c r="H240" s="16"/>
      <c r="I240" s="17"/>
      <c r="J240" s="16" t="str">
        <f aca="true">IF(F240="","",IF(I240&lt;&gt;"",I240-F240,TODAY()-F240))</f>
        <v/>
      </c>
      <c r="K240" s="16"/>
    </row>
    <row r="241" customFormat="false" ht="15" hidden="false" customHeight="false" outlineLevel="0" collapsed="false">
      <c r="A241" s="16"/>
      <c r="B241" s="16"/>
      <c r="C241" s="16"/>
      <c r="D241" s="16"/>
      <c r="E241" s="16"/>
      <c r="F241" s="17"/>
      <c r="G241" s="16"/>
      <c r="H241" s="16"/>
      <c r="I241" s="17"/>
      <c r="J241" s="16" t="str">
        <f aca="true">IF(F241="","",IF(I241&lt;&gt;"",I241-F241,TODAY()-F241))</f>
        <v/>
      </c>
      <c r="K241" s="16"/>
    </row>
    <row r="242" customFormat="false" ht="15" hidden="false" customHeight="false" outlineLevel="0" collapsed="false">
      <c r="A242" s="16"/>
      <c r="B242" s="16"/>
      <c r="C242" s="16"/>
      <c r="D242" s="16"/>
      <c r="E242" s="16"/>
      <c r="F242" s="17"/>
      <c r="G242" s="16"/>
      <c r="H242" s="16"/>
      <c r="I242" s="17"/>
      <c r="J242" s="16" t="str">
        <f aca="true">IF(F242="","",IF(I242&lt;&gt;"",I242-F242,TODAY()-F242))</f>
        <v/>
      </c>
      <c r="K242" s="16"/>
    </row>
    <row r="243" customFormat="false" ht="15" hidden="false" customHeight="false" outlineLevel="0" collapsed="false">
      <c r="A243" s="16"/>
      <c r="B243" s="16"/>
      <c r="C243" s="16"/>
      <c r="D243" s="16"/>
      <c r="E243" s="16"/>
      <c r="F243" s="17"/>
      <c r="G243" s="16"/>
      <c r="H243" s="16"/>
      <c r="I243" s="17"/>
      <c r="J243" s="16" t="str">
        <f aca="true">IF(F243="","",IF(I243&lt;&gt;"",I243-F243,TODAY()-F243))</f>
        <v/>
      </c>
      <c r="K243" s="16"/>
    </row>
    <row r="244" customFormat="false" ht="15" hidden="false" customHeight="false" outlineLevel="0" collapsed="false">
      <c r="A244" s="16"/>
      <c r="B244" s="16"/>
      <c r="C244" s="16"/>
      <c r="D244" s="16"/>
      <c r="E244" s="16"/>
      <c r="F244" s="17"/>
      <c r="G244" s="16"/>
      <c r="H244" s="16"/>
      <c r="I244" s="17"/>
      <c r="J244" s="16" t="str">
        <f aca="true">IF(F244="","",IF(I244&lt;&gt;"",I244-F244,TODAY()-F244))</f>
        <v/>
      </c>
      <c r="K244" s="16"/>
    </row>
    <row r="245" customFormat="false" ht="15" hidden="false" customHeight="false" outlineLevel="0" collapsed="false">
      <c r="A245" s="16"/>
      <c r="B245" s="16"/>
      <c r="C245" s="16"/>
      <c r="D245" s="16"/>
      <c r="E245" s="16"/>
      <c r="F245" s="17"/>
      <c r="G245" s="16"/>
      <c r="H245" s="16"/>
      <c r="I245" s="17"/>
      <c r="J245" s="16" t="str">
        <f aca="true">IF(F245="","",IF(I245&lt;&gt;"",I245-F245,TODAY()-F245))</f>
        <v/>
      </c>
      <c r="K245" s="16"/>
    </row>
    <row r="246" customFormat="false" ht="15" hidden="false" customHeight="false" outlineLevel="0" collapsed="false">
      <c r="A246" s="16"/>
      <c r="B246" s="16"/>
      <c r="C246" s="16"/>
      <c r="D246" s="16"/>
      <c r="E246" s="16"/>
      <c r="F246" s="17"/>
      <c r="G246" s="16"/>
      <c r="H246" s="16"/>
      <c r="I246" s="17"/>
      <c r="J246" s="16" t="str">
        <f aca="true">IF(F246="","",IF(I246&lt;&gt;"",I246-F246,TODAY()-F246))</f>
        <v/>
      </c>
      <c r="K246" s="16"/>
    </row>
    <row r="247" customFormat="false" ht="15" hidden="false" customHeight="false" outlineLevel="0" collapsed="false">
      <c r="A247" s="16"/>
      <c r="B247" s="16"/>
      <c r="C247" s="16"/>
      <c r="D247" s="16"/>
      <c r="E247" s="16"/>
      <c r="F247" s="17"/>
      <c r="G247" s="16"/>
      <c r="H247" s="16"/>
      <c r="I247" s="17"/>
      <c r="J247" s="16" t="str">
        <f aca="true">IF(F247="","",IF(I247&lt;&gt;"",I247-F247,TODAY()-F247))</f>
        <v/>
      </c>
      <c r="K247" s="16"/>
    </row>
    <row r="248" customFormat="false" ht="15" hidden="false" customHeight="false" outlineLevel="0" collapsed="false">
      <c r="A248" s="16"/>
      <c r="B248" s="16"/>
      <c r="C248" s="16"/>
      <c r="D248" s="16"/>
      <c r="E248" s="16"/>
      <c r="F248" s="17"/>
      <c r="G248" s="16"/>
      <c r="H248" s="16"/>
      <c r="I248" s="17"/>
      <c r="J248" s="16" t="str">
        <f aca="true">IF(F248="","",IF(I248&lt;&gt;"",I248-F248,TODAY()-F248))</f>
        <v/>
      </c>
      <c r="K248" s="16"/>
    </row>
    <row r="249" customFormat="false" ht="15" hidden="false" customHeight="false" outlineLevel="0" collapsed="false">
      <c r="A249" s="16"/>
      <c r="B249" s="16"/>
      <c r="C249" s="16"/>
      <c r="D249" s="16"/>
      <c r="E249" s="16"/>
      <c r="F249" s="17"/>
      <c r="G249" s="16"/>
      <c r="H249" s="16"/>
      <c r="I249" s="17"/>
      <c r="J249" s="16" t="str">
        <f aca="true">IF(F249="","",IF(I249&lt;&gt;"",I249-F249,TODAY()-F249))</f>
        <v/>
      </c>
      <c r="K249" s="16"/>
    </row>
    <row r="250" customFormat="false" ht="15" hidden="false" customHeight="false" outlineLevel="0" collapsed="false">
      <c r="A250" s="16"/>
      <c r="B250" s="16"/>
      <c r="C250" s="16"/>
      <c r="D250" s="16"/>
      <c r="E250" s="16"/>
      <c r="F250" s="17"/>
      <c r="G250" s="16"/>
      <c r="H250" s="16"/>
      <c r="I250" s="17"/>
      <c r="J250" s="16" t="str">
        <f aca="true">IF(F250="","",IF(I250&lt;&gt;"",I250-F250,TODAY()-F250))</f>
        <v/>
      </c>
      <c r="K250" s="16"/>
    </row>
    <row r="251" customFormat="false" ht="15" hidden="false" customHeight="false" outlineLevel="0" collapsed="false">
      <c r="A251" s="16"/>
      <c r="B251" s="16"/>
      <c r="C251" s="16"/>
      <c r="D251" s="16"/>
      <c r="E251" s="16"/>
      <c r="F251" s="17"/>
      <c r="G251" s="16"/>
      <c r="H251" s="16"/>
      <c r="I251" s="17"/>
      <c r="J251" s="16" t="str">
        <f aca="true">IF(F251="","",IF(I251&lt;&gt;"",I251-F251,TODAY()-F251))</f>
        <v/>
      </c>
      <c r="K251" s="16"/>
    </row>
    <row r="252" customFormat="false" ht="15" hidden="false" customHeight="false" outlineLevel="0" collapsed="false">
      <c r="A252" s="16"/>
      <c r="B252" s="16"/>
      <c r="C252" s="16"/>
      <c r="D252" s="16"/>
      <c r="E252" s="16"/>
      <c r="F252" s="17"/>
      <c r="G252" s="16"/>
      <c r="H252" s="16"/>
      <c r="I252" s="17"/>
      <c r="J252" s="16" t="str">
        <f aca="true">IF(F252="","",IF(I252&lt;&gt;"",I252-F252,TODAY()-F252))</f>
        <v/>
      </c>
      <c r="K252" s="16"/>
    </row>
    <row r="253" customFormat="false" ht="15" hidden="false" customHeight="false" outlineLevel="0" collapsed="false">
      <c r="A253" s="16"/>
      <c r="B253" s="16"/>
      <c r="C253" s="16"/>
      <c r="D253" s="16"/>
      <c r="E253" s="16"/>
      <c r="F253" s="17"/>
      <c r="G253" s="16"/>
      <c r="H253" s="16"/>
      <c r="I253" s="17"/>
      <c r="J253" s="16" t="str">
        <f aca="true">IF(F253="","",IF(I253&lt;&gt;"",I253-F253,TODAY()-F253))</f>
        <v/>
      </c>
      <c r="K253" s="16"/>
    </row>
    <row r="254" customFormat="false" ht="15" hidden="false" customHeight="false" outlineLevel="0" collapsed="false">
      <c r="A254" s="16"/>
      <c r="B254" s="16"/>
      <c r="C254" s="16"/>
      <c r="D254" s="16"/>
      <c r="E254" s="16"/>
      <c r="F254" s="17"/>
      <c r="G254" s="16"/>
      <c r="H254" s="16"/>
      <c r="I254" s="17"/>
      <c r="J254" s="16" t="str">
        <f aca="true">IF(F254="","",IF(I254&lt;&gt;"",I254-F254,TODAY()-F254))</f>
        <v/>
      </c>
      <c r="K254" s="16"/>
    </row>
    <row r="255" customFormat="false" ht="15" hidden="false" customHeight="false" outlineLevel="0" collapsed="false">
      <c r="A255" s="16"/>
      <c r="B255" s="16"/>
      <c r="C255" s="16"/>
      <c r="D255" s="16"/>
      <c r="E255" s="16"/>
      <c r="F255" s="17"/>
      <c r="G255" s="16"/>
      <c r="H255" s="16"/>
      <c r="I255" s="17"/>
      <c r="J255" s="16" t="str">
        <f aca="true">IF(F255="","",IF(I255&lt;&gt;"",I255-F255,TODAY()-F255))</f>
        <v/>
      </c>
      <c r="K255" s="16"/>
    </row>
    <row r="256" customFormat="false" ht="15" hidden="false" customHeight="false" outlineLevel="0" collapsed="false">
      <c r="A256" s="16"/>
      <c r="B256" s="16"/>
      <c r="C256" s="16"/>
      <c r="D256" s="16"/>
      <c r="E256" s="16"/>
      <c r="F256" s="17"/>
      <c r="G256" s="16"/>
      <c r="H256" s="16"/>
      <c r="I256" s="17"/>
      <c r="J256" s="16" t="str">
        <f aca="true">IF(F256="","",IF(I256&lt;&gt;"",I256-F256,TODAY()-F256))</f>
        <v/>
      </c>
      <c r="K256" s="16"/>
    </row>
    <row r="257" customFormat="false" ht="15" hidden="false" customHeight="false" outlineLevel="0" collapsed="false">
      <c r="A257" s="16"/>
      <c r="B257" s="16"/>
      <c r="C257" s="16"/>
      <c r="D257" s="16"/>
      <c r="E257" s="16"/>
      <c r="F257" s="17"/>
      <c r="G257" s="16"/>
      <c r="H257" s="16"/>
      <c r="I257" s="17"/>
      <c r="J257" s="16" t="str">
        <f aca="true">IF(F257="","",IF(I257&lt;&gt;"",I257-F257,TODAY()-F257))</f>
        <v/>
      </c>
      <c r="K257" s="16"/>
    </row>
    <row r="258" customFormat="false" ht="15" hidden="false" customHeight="false" outlineLevel="0" collapsed="false">
      <c r="A258" s="16"/>
      <c r="B258" s="16"/>
      <c r="C258" s="16"/>
      <c r="D258" s="16"/>
      <c r="E258" s="16"/>
      <c r="F258" s="17"/>
      <c r="G258" s="16"/>
      <c r="H258" s="16"/>
      <c r="I258" s="17"/>
      <c r="J258" s="16" t="str">
        <f aca="true">IF(F258="","",IF(I258&lt;&gt;"",I258-F258,TODAY()-F258))</f>
        <v/>
      </c>
      <c r="K258" s="16"/>
    </row>
    <row r="259" customFormat="false" ht="15" hidden="false" customHeight="false" outlineLevel="0" collapsed="false">
      <c r="A259" s="16"/>
      <c r="B259" s="16"/>
      <c r="C259" s="16"/>
      <c r="D259" s="16"/>
      <c r="E259" s="16"/>
      <c r="F259" s="17"/>
      <c r="G259" s="16"/>
      <c r="H259" s="16"/>
      <c r="I259" s="17"/>
      <c r="J259" s="16" t="str">
        <f aca="true">IF(F259="","",IF(I259&lt;&gt;"",I259-F259,TODAY()-F259))</f>
        <v/>
      </c>
      <c r="K259" s="16"/>
    </row>
    <row r="260" customFormat="false" ht="15" hidden="false" customHeight="false" outlineLevel="0" collapsed="false">
      <c r="A260" s="16"/>
      <c r="B260" s="16"/>
      <c r="C260" s="16"/>
      <c r="D260" s="16"/>
      <c r="E260" s="16"/>
      <c r="F260" s="17"/>
      <c r="G260" s="16"/>
      <c r="H260" s="16"/>
      <c r="I260" s="17"/>
      <c r="J260" s="16" t="str">
        <f aca="true">IF(F260="","",IF(I260&lt;&gt;"",I260-F260,TODAY()-F260))</f>
        <v/>
      </c>
      <c r="K260" s="16"/>
    </row>
    <row r="261" customFormat="false" ht="15" hidden="false" customHeight="false" outlineLevel="0" collapsed="false">
      <c r="A261" s="16"/>
      <c r="B261" s="16"/>
      <c r="C261" s="16"/>
      <c r="D261" s="16"/>
      <c r="E261" s="16"/>
      <c r="F261" s="17"/>
      <c r="G261" s="16"/>
      <c r="H261" s="16"/>
      <c r="I261" s="17"/>
      <c r="J261" s="16" t="str">
        <f aca="true">IF(F261="","",IF(I261&lt;&gt;"",I261-F261,TODAY()-F261))</f>
        <v/>
      </c>
      <c r="K261" s="16"/>
    </row>
    <row r="262" customFormat="false" ht="15" hidden="false" customHeight="false" outlineLevel="0" collapsed="false">
      <c r="A262" s="16"/>
      <c r="B262" s="16"/>
      <c r="C262" s="16"/>
      <c r="D262" s="16"/>
      <c r="E262" s="16"/>
      <c r="F262" s="17"/>
      <c r="G262" s="16"/>
      <c r="H262" s="16"/>
      <c r="I262" s="17"/>
      <c r="J262" s="16" t="str">
        <f aca="true">IF(F262="","",IF(I262&lt;&gt;"",I262-F262,TODAY()-F262))</f>
        <v/>
      </c>
      <c r="K262" s="16"/>
    </row>
    <row r="263" customFormat="false" ht="15" hidden="false" customHeight="false" outlineLevel="0" collapsed="false">
      <c r="A263" s="16"/>
      <c r="B263" s="16"/>
      <c r="C263" s="16"/>
      <c r="D263" s="16"/>
      <c r="E263" s="16"/>
      <c r="F263" s="17"/>
      <c r="G263" s="16"/>
      <c r="H263" s="16"/>
      <c r="I263" s="17"/>
      <c r="J263" s="16" t="str">
        <f aca="true">IF(F263="","",IF(I263&lt;&gt;"",I263-F263,TODAY()-F263))</f>
        <v/>
      </c>
      <c r="K263" s="16"/>
    </row>
    <row r="264" customFormat="false" ht="15" hidden="false" customHeight="false" outlineLevel="0" collapsed="false">
      <c r="A264" s="16"/>
      <c r="B264" s="16"/>
      <c r="C264" s="16"/>
      <c r="D264" s="16"/>
      <c r="E264" s="16"/>
      <c r="F264" s="17"/>
      <c r="G264" s="16"/>
      <c r="H264" s="16"/>
      <c r="I264" s="17"/>
      <c r="J264" s="16" t="str">
        <f aca="true">IF(F264="","",IF(I264&lt;&gt;"",I264-F264,TODAY()-F264))</f>
        <v/>
      </c>
      <c r="K264" s="16"/>
    </row>
    <row r="265" customFormat="false" ht="15" hidden="false" customHeight="false" outlineLevel="0" collapsed="false">
      <c r="A265" s="16"/>
      <c r="B265" s="16"/>
      <c r="C265" s="16"/>
      <c r="D265" s="16"/>
      <c r="E265" s="16"/>
      <c r="F265" s="17"/>
      <c r="G265" s="16"/>
      <c r="H265" s="16"/>
      <c r="I265" s="17"/>
      <c r="J265" s="16" t="str">
        <f aca="true">IF(F265="","",IF(I265&lt;&gt;"",I265-F265,TODAY()-F265))</f>
        <v/>
      </c>
      <c r="K265" s="16"/>
    </row>
    <row r="266" customFormat="false" ht="15" hidden="false" customHeight="false" outlineLevel="0" collapsed="false">
      <c r="A266" s="16"/>
      <c r="B266" s="16"/>
      <c r="C266" s="16"/>
      <c r="D266" s="16"/>
      <c r="E266" s="16"/>
      <c r="F266" s="17"/>
      <c r="G266" s="16"/>
      <c r="H266" s="16"/>
      <c r="I266" s="17"/>
      <c r="J266" s="16" t="str">
        <f aca="true">IF(F266="","",IF(I266&lt;&gt;"",I266-F266,TODAY()-F266))</f>
        <v/>
      </c>
      <c r="K266" s="16"/>
    </row>
    <row r="267" customFormat="false" ht="15" hidden="false" customHeight="false" outlineLevel="0" collapsed="false">
      <c r="A267" s="16"/>
      <c r="B267" s="16"/>
      <c r="C267" s="16"/>
      <c r="D267" s="16"/>
      <c r="E267" s="16"/>
      <c r="F267" s="17"/>
      <c r="G267" s="16"/>
      <c r="H267" s="16"/>
      <c r="I267" s="17"/>
      <c r="J267" s="16" t="str">
        <f aca="true">IF(F267="","",IF(I267&lt;&gt;"",I267-F267,TODAY()-F267))</f>
        <v/>
      </c>
      <c r="K267" s="16"/>
    </row>
    <row r="268" customFormat="false" ht="15" hidden="false" customHeight="false" outlineLevel="0" collapsed="false">
      <c r="A268" s="16"/>
      <c r="B268" s="16"/>
      <c r="C268" s="16"/>
      <c r="D268" s="16"/>
      <c r="E268" s="16"/>
      <c r="F268" s="17"/>
      <c r="G268" s="16"/>
      <c r="H268" s="16"/>
      <c r="I268" s="17"/>
      <c r="J268" s="16" t="str">
        <f aca="true">IF(F268="","",IF(I268&lt;&gt;"",I268-F268,TODAY()-F268))</f>
        <v/>
      </c>
      <c r="K268" s="16"/>
    </row>
    <row r="269" customFormat="false" ht="15" hidden="false" customHeight="false" outlineLevel="0" collapsed="false">
      <c r="A269" s="16"/>
      <c r="B269" s="16"/>
      <c r="C269" s="16"/>
      <c r="D269" s="16"/>
      <c r="E269" s="16"/>
      <c r="F269" s="17"/>
      <c r="G269" s="16"/>
      <c r="H269" s="16"/>
      <c r="I269" s="17"/>
      <c r="J269" s="16" t="str">
        <f aca="true">IF(F269="","",IF(I269&lt;&gt;"",I269-F269,TODAY()-F269))</f>
        <v/>
      </c>
      <c r="K269" s="16"/>
    </row>
    <row r="270" customFormat="false" ht="15" hidden="false" customHeight="false" outlineLevel="0" collapsed="false">
      <c r="A270" s="16"/>
      <c r="B270" s="16"/>
      <c r="C270" s="16"/>
      <c r="D270" s="16"/>
      <c r="E270" s="16"/>
      <c r="F270" s="17"/>
      <c r="G270" s="16"/>
      <c r="H270" s="16"/>
      <c r="I270" s="17"/>
      <c r="J270" s="16" t="str">
        <f aca="true">IF(F270="","",IF(I270&lt;&gt;"",I270-F270,TODAY()-F270))</f>
        <v/>
      </c>
      <c r="K270" s="16"/>
    </row>
    <row r="271" customFormat="false" ht="15" hidden="false" customHeight="false" outlineLevel="0" collapsed="false">
      <c r="A271" s="16"/>
      <c r="B271" s="16"/>
      <c r="C271" s="16"/>
      <c r="D271" s="16"/>
      <c r="E271" s="16"/>
      <c r="F271" s="17"/>
      <c r="G271" s="16"/>
      <c r="H271" s="16"/>
      <c r="I271" s="17"/>
      <c r="J271" s="16" t="str">
        <f aca="true">IF(F271="","",IF(I271&lt;&gt;"",I271-F271,TODAY()-F271))</f>
        <v/>
      </c>
      <c r="K271" s="16"/>
    </row>
    <row r="272" customFormat="false" ht="15" hidden="false" customHeight="false" outlineLevel="0" collapsed="false">
      <c r="A272" s="16"/>
      <c r="B272" s="16"/>
      <c r="C272" s="16"/>
      <c r="D272" s="16"/>
      <c r="E272" s="16"/>
      <c r="F272" s="17"/>
      <c r="G272" s="16"/>
      <c r="H272" s="16"/>
      <c r="I272" s="17"/>
      <c r="J272" s="16" t="str">
        <f aca="true">IF(F272="","",IF(I272&lt;&gt;"",I272-F272,TODAY()-F272))</f>
        <v/>
      </c>
      <c r="K272" s="16"/>
    </row>
    <row r="273" customFormat="false" ht="15" hidden="false" customHeight="false" outlineLevel="0" collapsed="false">
      <c r="A273" s="16"/>
      <c r="B273" s="16"/>
      <c r="C273" s="16"/>
      <c r="D273" s="16"/>
      <c r="E273" s="16"/>
      <c r="F273" s="17"/>
      <c r="G273" s="16"/>
      <c r="H273" s="16"/>
      <c r="I273" s="17"/>
      <c r="J273" s="16" t="str">
        <f aca="true">IF(F273="","",IF(I273&lt;&gt;"",I273-F273,TODAY()-F273))</f>
        <v/>
      </c>
      <c r="K273" s="16"/>
    </row>
    <row r="274" customFormat="false" ht="15" hidden="false" customHeight="false" outlineLevel="0" collapsed="false">
      <c r="A274" s="16"/>
      <c r="B274" s="16"/>
      <c r="C274" s="16"/>
      <c r="D274" s="16"/>
      <c r="E274" s="16"/>
      <c r="F274" s="17"/>
      <c r="G274" s="16"/>
      <c r="H274" s="16"/>
      <c r="I274" s="17"/>
      <c r="J274" s="16" t="str">
        <f aca="true">IF(F274="","",IF(I274&lt;&gt;"",I274-F274,TODAY()-F274))</f>
        <v/>
      </c>
      <c r="K274" s="16"/>
    </row>
    <row r="275" customFormat="false" ht="15" hidden="false" customHeight="false" outlineLevel="0" collapsed="false">
      <c r="A275" s="16"/>
      <c r="B275" s="16"/>
      <c r="C275" s="16"/>
      <c r="D275" s="16"/>
      <c r="E275" s="16"/>
      <c r="F275" s="17"/>
      <c r="G275" s="16"/>
      <c r="H275" s="16"/>
      <c r="I275" s="17"/>
      <c r="J275" s="16" t="str">
        <f aca="true">IF(F275="","",IF(I275&lt;&gt;"",I275-F275,TODAY()-F275))</f>
        <v/>
      </c>
      <c r="K275" s="16"/>
    </row>
    <row r="276" customFormat="false" ht="15" hidden="false" customHeight="false" outlineLevel="0" collapsed="false">
      <c r="A276" s="16"/>
      <c r="B276" s="16"/>
      <c r="C276" s="16"/>
      <c r="D276" s="16"/>
      <c r="E276" s="16"/>
      <c r="F276" s="17"/>
      <c r="G276" s="16"/>
      <c r="H276" s="16"/>
      <c r="I276" s="17"/>
      <c r="J276" s="16" t="str">
        <f aca="true">IF(F276="","",IF(I276&lt;&gt;"",I276-F276,TODAY()-F276))</f>
        <v/>
      </c>
      <c r="K276" s="16"/>
    </row>
    <row r="277" customFormat="false" ht="15" hidden="false" customHeight="false" outlineLevel="0" collapsed="false">
      <c r="A277" s="16"/>
      <c r="B277" s="16"/>
      <c r="C277" s="16"/>
      <c r="D277" s="16"/>
      <c r="E277" s="16"/>
      <c r="F277" s="17"/>
      <c r="G277" s="16"/>
      <c r="H277" s="16"/>
      <c r="I277" s="17"/>
      <c r="J277" s="16" t="str">
        <f aca="true">IF(F277="","",IF(I277&lt;&gt;"",I277-F277,TODAY()-F277))</f>
        <v/>
      </c>
      <c r="K277" s="16"/>
    </row>
    <row r="278" customFormat="false" ht="15" hidden="false" customHeight="false" outlineLevel="0" collapsed="false">
      <c r="A278" s="16"/>
      <c r="B278" s="16"/>
      <c r="C278" s="16"/>
      <c r="D278" s="16"/>
      <c r="E278" s="16"/>
      <c r="F278" s="17"/>
      <c r="G278" s="16"/>
      <c r="H278" s="16"/>
      <c r="I278" s="17"/>
      <c r="J278" s="16" t="str">
        <f aca="true">IF(F278="","",IF(I278&lt;&gt;"",I278-F278,TODAY()-F278))</f>
        <v/>
      </c>
      <c r="K278" s="16"/>
    </row>
    <row r="279" customFormat="false" ht="15" hidden="false" customHeight="false" outlineLevel="0" collapsed="false">
      <c r="A279" s="16"/>
      <c r="B279" s="16"/>
      <c r="C279" s="16"/>
      <c r="D279" s="16"/>
      <c r="E279" s="16"/>
      <c r="F279" s="17"/>
      <c r="G279" s="16"/>
      <c r="H279" s="16"/>
      <c r="I279" s="17"/>
      <c r="J279" s="16" t="str">
        <f aca="true">IF(F279="","",IF(I279&lt;&gt;"",I279-F279,TODAY()-F279))</f>
        <v/>
      </c>
      <c r="K279" s="16"/>
    </row>
    <row r="280" customFormat="false" ht="15" hidden="false" customHeight="false" outlineLevel="0" collapsed="false">
      <c r="A280" s="16"/>
      <c r="B280" s="16"/>
      <c r="C280" s="16"/>
      <c r="D280" s="16"/>
      <c r="E280" s="16"/>
      <c r="F280" s="17"/>
      <c r="G280" s="16"/>
      <c r="H280" s="16"/>
      <c r="I280" s="17"/>
      <c r="J280" s="16" t="str">
        <f aca="true">IF(F280="","",IF(I280&lt;&gt;"",I280-F280,TODAY()-F280))</f>
        <v/>
      </c>
      <c r="K280" s="16"/>
    </row>
    <row r="281" customFormat="false" ht="15" hidden="false" customHeight="false" outlineLevel="0" collapsed="false">
      <c r="A281" s="16"/>
      <c r="B281" s="16"/>
      <c r="C281" s="16"/>
      <c r="D281" s="16"/>
      <c r="E281" s="16"/>
      <c r="F281" s="17"/>
      <c r="G281" s="16"/>
      <c r="H281" s="16"/>
      <c r="I281" s="17"/>
      <c r="J281" s="16" t="str">
        <f aca="true">IF(F281="","",IF(I281&lt;&gt;"",I281-F281,TODAY()-F281))</f>
        <v/>
      </c>
      <c r="K281" s="16"/>
    </row>
    <row r="282" customFormat="false" ht="15" hidden="false" customHeight="false" outlineLevel="0" collapsed="false">
      <c r="A282" s="16"/>
      <c r="B282" s="16"/>
      <c r="C282" s="16"/>
      <c r="D282" s="16"/>
      <c r="E282" s="16"/>
      <c r="F282" s="17"/>
      <c r="G282" s="16"/>
      <c r="H282" s="16"/>
      <c r="I282" s="17"/>
      <c r="J282" s="16" t="str">
        <f aca="true">IF(F282="","",IF(I282&lt;&gt;"",I282-F282,TODAY()-F282))</f>
        <v/>
      </c>
      <c r="K282" s="16"/>
    </row>
    <row r="283" customFormat="false" ht="15" hidden="false" customHeight="false" outlineLevel="0" collapsed="false">
      <c r="A283" s="16"/>
      <c r="B283" s="16"/>
      <c r="C283" s="16"/>
      <c r="D283" s="16"/>
      <c r="E283" s="16"/>
      <c r="F283" s="17"/>
      <c r="G283" s="16"/>
      <c r="H283" s="16"/>
      <c r="I283" s="17"/>
      <c r="J283" s="16" t="str">
        <f aca="true">IF(F283="","",IF(I283&lt;&gt;"",I283-F283,TODAY()-F283))</f>
        <v/>
      </c>
      <c r="K283" s="16"/>
    </row>
    <row r="284" customFormat="false" ht="15" hidden="false" customHeight="false" outlineLevel="0" collapsed="false">
      <c r="A284" s="16"/>
      <c r="B284" s="16"/>
      <c r="C284" s="16"/>
      <c r="D284" s="16"/>
      <c r="E284" s="16"/>
      <c r="F284" s="17"/>
      <c r="G284" s="16"/>
      <c r="H284" s="16"/>
      <c r="I284" s="17"/>
      <c r="J284" s="16" t="str">
        <f aca="true">IF(F284="","",IF(I284&lt;&gt;"",I284-F284,TODAY()-F284))</f>
        <v/>
      </c>
      <c r="K284" s="16"/>
    </row>
    <row r="285" customFormat="false" ht="15" hidden="false" customHeight="false" outlineLevel="0" collapsed="false">
      <c r="A285" s="16"/>
      <c r="B285" s="16"/>
      <c r="C285" s="16"/>
      <c r="D285" s="16"/>
      <c r="E285" s="16"/>
      <c r="F285" s="17"/>
      <c r="G285" s="16"/>
      <c r="H285" s="16"/>
      <c r="I285" s="17"/>
      <c r="J285" s="16" t="str">
        <f aca="true">IF(F285="","",IF(I285&lt;&gt;"",I285-F285,TODAY()-F285))</f>
        <v/>
      </c>
      <c r="K285" s="16"/>
    </row>
    <row r="286" customFormat="false" ht="15" hidden="false" customHeight="false" outlineLevel="0" collapsed="false">
      <c r="A286" s="16"/>
      <c r="B286" s="16"/>
      <c r="C286" s="16"/>
      <c r="D286" s="16"/>
      <c r="E286" s="16"/>
      <c r="F286" s="17"/>
      <c r="G286" s="16"/>
      <c r="H286" s="16"/>
      <c r="I286" s="17"/>
      <c r="J286" s="16" t="str">
        <f aca="true">IF(F286="","",IF(I286&lt;&gt;"",I286-F286,TODAY()-F286))</f>
        <v/>
      </c>
      <c r="K286" s="16"/>
    </row>
    <row r="287" customFormat="false" ht="15" hidden="false" customHeight="false" outlineLevel="0" collapsed="false">
      <c r="A287" s="16"/>
      <c r="B287" s="16"/>
      <c r="C287" s="16"/>
      <c r="D287" s="16"/>
      <c r="E287" s="16"/>
      <c r="F287" s="17"/>
      <c r="G287" s="16"/>
      <c r="H287" s="16"/>
      <c r="I287" s="17"/>
      <c r="J287" s="16" t="str">
        <f aca="true">IF(F287="","",IF(I287&lt;&gt;"",I287-F287,TODAY()-F287))</f>
        <v/>
      </c>
      <c r="K287" s="16"/>
    </row>
    <row r="288" customFormat="false" ht="15" hidden="false" customHeight="false" outlineLevel="0" collapsed="false">
      <c r="A288" s="16"/>
      <c r="B288" s="16"/>
      <c r="C288" s="16"/>
      <c r="D288" s="16"/>
      <c r="E288" s="16"/>
      <c r="F288" s="17"/>
      <c r="G288" s="16"/>
      <c r="H288" s="16"/>
      <c r="I288" s="17"/>
      <c r="J288" s="16" t="str">
        <f aca="true">IF(F288="","",IF(I288&lt;&gt;"",I288-F288,TODAY()-F288))</f>
        <v/>
      </c>
      <c r="K288" s="16"/>
    </row>
    <row r="289" customFormat="false" ht="15" hidden="false" customHeight="false" outlineLevel="0" collapsed="false">
      <c r="A289" s="16"/>
      <c r="B289" s="16"/>
      <c r="C289" s="16"/>
      <c r="D289" s="16"/>
      <c r="E289" s="16"/>
      <c r="F289" s="17"/>
      <c r="G289" s="16"/>
      <c r="H289" s="16"/>
      <c r="I289" s="17"/>
      <c r="J289" s="16" t="str">
        <f aca="true">IF(F289="","",IF(I289&lt;&gt;"",I289-F289,TODAY()-F289))</f>
        <v/>
      </c>
      <c r="K289" s="16"/>
    </row>
    <row r="290" customFormat="false" ht="15" hidden="false" customHeight="false" outlineLevel="0" collapsed="false">
      <c r="A290" s="16"/>
      <c r="B290" s="16"/>
      <c r="C290" s="16"/>
      <c r="D290" s="16"/>
      <c r="E290" s="16"/>
      <c r="F290" s="17"/>
      <c r="G290" s="16"/>
      <c r="H290" s="16"/>
      <c r="I290" s="17"/>
      <c r="J290" s="16" t="str">
        <f aca="true">IF(F290="","",IF(I290&lt;&gt;"",I290-F290,TODAY()-F290))</f>
        <v/>
      </c>
      <c r="K290" s="16"/>
    </row>
    <row r="291" customFormat="false" ht="15" hidden="false" customHeight="false" outlineLevel="0" collapsed="false">
      <c r="A291" s="16"/>
      <c r="B291" s="16"/>
      <c r="C291" s="16"/>
      <c r="D291" s="16"/>
      <c r="E291" s="16"/>
      <c r="F291" s="17"/>
      <c r="G291" s="16"/>
      <c r="H291" s="16"/>
      <c r="I291" s="17"/>
      <c r="J291" s="16" t="str">
        <f aca="true">IF(F291="","",IF(I291&lt;&gt;"",I291-F291,TODAY()-F291))</f>
        <v/>
      </c>
      <c r="K291" s="16"/>
    </row>
    <row r="292" customFormat="false" ht="15" hidden="false" customHeight="false" outlineLevel="0" collapsed="false">
      <c r="A292" s="16"/>
      <c r="B292" s="16"/>
      <c r="C292" s="16"/>
      <c r="D292" s="16"/>
      <c r="E292" s="16"/>
      <c r="F292" s="17"/>
      <c r="G292" s="16"/>
      <c r="H292" s="16"/>
      <c r="I292" s="17"/>
      <c r="J292" s="16" t="str">
        <f aca="true">IF(F292="","",IF(I292&lt;&gt;"",I292-F292,TODAY()-F292))</f>
        <v/>
      </c>
      <c r="K292" s="16"/>
    </row>
    <row r="293" customFormat="false" ht="15" hidden="false" customHeight="false" outlineLevel="0" collapsed="false">
      <c r="A293" s="16"/>
      <c r="B293" s="16"/>
      <c r="C293" s="16"/>
      <c r="D293" s="16"/>
      <c r="E293" s="16"/>
      <c r="F293" s="17"/>
      <c r="G293" s="16"/>
      <c r="H293" s="16"/>
      <c r="I293" s="17"/>
      <c r="J293" s="16" t="str">
        <f aca="true">IF(F293="","",IF(I293&lt;&gt;"",I293-F293,TODAY()-F293))</f>
        <v/>
      </c>
      <c r="K293" s="16"/>
    </row>
    <row r="294" customFormat="false" ht="15" hidden="false" customHeight="false" outlineLevel="0" collapsed="false">
      <c r="A294" s="16"/>
      <c r="B294" s="16"/>
      <c r="C294" s="16"/>
      <c r="D294" s="16"/>
      <c r="E294" s="16"/>
      <c r="F294" s="17"/>
      <c r="G294" s="16"/>
      <c r="H294" s="16"/>
      <c r="I294" s="17"/>
      <c r="J294" s="16" t="str">
        <f aca="true">IF(F294="","",IF(I294&lt;&gt;"",I294-F294,TODAY()-F294))</f>
        <v/>
      </c>
      <c r="K294" s="16"/>
    </row>
    <row r="295" customFormat="false" ht="15" hidden="false" customHeight="false" outlineLevel="0" collapsed="false">
      <c r="A295" s="16"/>
      <c r="B295" s="16"/>
      <c r="C295" s="16"/>
      <c r="D295" s="16"/>
      <c r="E295" s="16"/>
      <c r="F295" s="17"/>
      <c r="G295" s="16"/>
      <c r="H295" s="16"/>
      <c r="I295" s="17"/>
      <c r="J295" s="16" t="str">
        <f aca="true">IF(F295="","",IF(I295&lt;&gt;"",I295-F295,TODAY()-F295))</f>
        <v/>
      </c>
      <c r="K295" s="16"/>
    </row>
    <row r="296" customFormat="false" ht="15" hidden="false" customHeight="false" outlineLevel="0" collapsed="false">
      <c r="A296" s="16"/>
      <c r="B296" s="16"/>
      <c r="C296" s="16"/>
      <c r="D296" s="16"/>
      <c r="E296" s="16"/>
      <c r="F296" s="17"/>
      <c r="G296" s="16"/>
      <c r="H296" s="16"/>
      <c r="I296" s="17"/>
      <c r="J296" s="16" t="str">
        <f aca="true">IF(F296="","",IF(I296&lt;&gt;"",I296-F296,TODAY()-F296))</f>
        <v/>
      </c>
      <c r="K296" s="16"/>
    </row>
    <row r="297" customFormat="false" ht="15" hidden="false" customHeight="false" outlineLevel="0" collapsed="false">
      <c r="A297" s="16"/>
      <c r="B297" s="16"/>
      <c r="C297" s="16"/>
      <c r="D297" s="16"/>
      <c r="E297" s="16"/>
      <c r="F297" s="17"/>
      <c r="G297" s="16"/>
      <c r="H297" s="16"/>
      <c r="I297" s="17"/>
      <c r="J297" s="16" t="str">
        <f aca="true">IF(F297="","",IF(I297&lt;&gt;"",I297-F297,TODAY()-F297))</f>
        <v/>
      </c>
      <c r="K297" s="16"/>
    </row>
    <row r="298" customFormat="false" ht="15" hidden="false" customHeight="false" outlineLevel="0" collapsed="false">
      <c r="A298" s="16"/>
      <c r="B298" s="16"/>
      <c r="C298" s="16"/>
      <c r="D298" s="16"/>
      <c r="E298" s="16"/>
      <c r="F298" s="17"/>
      <c r="G298" s="16"/>
      <c r="H298" s="16"/>
      <c r="I298" s="17"/>
      <c r="J298" s="16" t="str">
        <f aca="true">IF(F298="","",IF(I298&lt;&gt;"",I298-F298,TODAY()-F298))</f>
        <v/>
      </c>
      <c r="K298" s="16"/>
    </row>
    <row r="299" customFormat="false" ht="15" hidden="false" customHeight="false" outlineLevel="0" collapsed="false">
      <c r="A299" s="16"/>
      <c r="B299" s="16"/>
      <c r="C299" s="16"/>
      <c r="D299" s="16"/>
      <c r="E299" s="16"/>
      <c r="F299" s="17"/>
      <c r="G299" s="16"/>
      <c r="H299" s="16"/>
      <c r="I299" s="17"/>
      <c r="J299" s="16" t="str">
        <f aca="true">IF(F299="","",IF(I299&lt;&gt;"",I299-F299,TODAY()-F299))</f>
        <v/>
      </c>
      <c r="K299" s="16"/>
    </row>
    <row r="300" customFormat="false" ht="15" hidden="false" customHeight="false" outlineLevel="0" collapsed="false">
      <c r="A300" s="16"/>
      <c r="B300" s="16"/>
      <c r="C300" s="16"/>
      <c r="D300" s="16"/>
      <c r="E300" s="16"/>
      <c r="F300" s="17"/>
      <c r="G300" s="16"/>
      <c r="H300" s="16"/>
      <c r="I300" s="17"/>
      <c r="J300" s="16" t="str">
        <f aca="true">IF(F300="","",IF(I300&lt;&gt;"",I300-F300,TODAY()-F300))</f>
        <v/>
      </c>
      <c r="K300" s="16"/>
    </row>
    <row r="301" customFormat="false" ht="15" hidden="false" customHeight="false" outlineLevel="0" collapsed="false">
      <c r="A301" s="16"/>
      <c r="B301" s="16"/>
      <c r="C301" s="16"/>
      <c r="D301" s="16"/>
      <c r="E301" s="16"/>
      <c r="F301" s="17"/>
      <c r="G301" s="16"/>
      <c r="H301" s="16"/>
      <c r="I301" s="17"/>
      <c r="J301" s="16" t="str">
        <f aca="true">IF(F301="","",IF(I301&lt;&gt;"",I301-F301,TODAY()-F301))</f>
        <v/>
      </c>
      <c r="K301" s="16"/>
    </row>
  </sheetData>
  <autoFilter ref="A1:K301"/>
  <dataValidations count="2">
    <dataValidation allowBlank="true" error="Please choose an item from the dropdown list." errorStyle="stop" errorTitle="Invalid entry" operator="between" showDropDown="false" showErrorMessage="false" showInputMessage="false" sqref="A2:A301" type="list">
      <formula1>'Job List'!$A$2:$A$16</formula1>
      <formula2>0</formula2>
    </dataValidation>
    <dataValidation allowBlank="true" error="Please choose an item from the dropdown list." errorStyle="stop" errorTitle="Invalid entry" operator="between" showDropDown="false" showErrorMessage="false" showInputMessage="false" sqref="H2:H301" type="list">
      <formula1>"Open,In Progress,Closed"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30"/>
  </cols>
  <sheetData>
    <row r="1" customFormat="false" ht="30" hidden="false" customHeight="true" outlineLevel="0" collapsed="false">
      <c r="A1" s="7" t="s">
        <v>27</v>
      </c>
      <c r="B1" s="7" t="s">
        <v>28</v>
      </c>
      <c r="C1" s="7" t="s">
        <v>101</v>
      </c>
      <c r="D1" s="7" t="s">
        <v>102</v>
      </c>
      <c r="E1" s="7" t="s">
        <v>103</v>
      </c>
      <c r="F1" s="7" t="s">
        <v>104</v>
      </c>
      <c r="G1" s="7" t="s">
        <v>105</v>
      </c>
      <c r="H1" s="7" t="s">
        <v>79</v>
      </c>
    </row>
    <row r="2" customFormat="false" ht="15" hidden="false" customHeight="false" outlineLevel="0" collapsed="false">
      <c r="A2" s="16"/>
      <c r="B2" s="16"/>
      <c r="C2" s="16"/>
      <c r="D2" s="16"/>
      <c r="E2" s="17"/>
      <c r="F2" s="17"/>
      <c r="G2" s="17"/>
      <c r="H2" s="16"/>
    </row>
    <row r="3" customFormat="false" ht="15" hidden="false" customHeight="false" outlineLevel="0" collapsed="false">
      <c r="A3" s="16"/>
      <c r="B3" s="16"/>
      <c r="C3" s="16"/>
      <c r="D3" s="16"/>
      <c r="E3" s="17"/>
      <c r="F3" s="17"/>
      <c r="G3" s="17"/>
      <c r="H3" s="16"/>
    </row>
    <row r="4" customFormat="false" ht="15" hidden="false" customHeight="false" outlineLevel="0" collapsed="false">
      <c r="A4" s="16"/>
      <c r="B4" s="16"/>
      <c r="C4" s="16"/>
      <c r="D4" s="16"/>
      <c r="E4" s="17"/>
      <c r="F4" s="17"/>
      <c r="G4" s="17"/>
      <c r="H4" s="16"/>
    </row>
    <row r="5" customFormat="false" ht="15" hidden="false" customHeight="false" outlineLevel="0" collapsed="false">
      <c r="A5" s="16"/>
      <c r="B5" s="16"/>
      <c r="C5" s="16"/>
      <c r="D5" s="16"/>
      <c r="E5" s="17"/>
      <c r="F5" s="17"/>
      <c r="G5" s="17"/>
      <c r="H5" s="16"/>
    </row>
    <row r="6" customFormat="false" ht="15" hidden="false" customHeight="false" outlineLevel="0" collapsed="false">
      <c r="A6" s="16"/>
      <c r="B6" s="16"/>
      <c r="C6" s="16"/>
      <c r="D6" s="16"/>
      <c r="E6" s="17"/>
      <c r="F6" s="17"/>
      <c r="G6" s="17"/>
      <c r="H6" s="16"/>
    </row>
    <row r="7" customFormat="false" ht="15" hidden="false" customHeight="false" outlineLevel="0" collapsed="false">
      <c r="A7" s="16"/>
      <c r="B7" s="16"/>
      <c r="C7" s="16"/>
      <c r="D7" s="16"/>
      <c r="E7" s="17"/>
      <c r="F7" s="17"/>
      <c r="G7" s="17"/>
      <c r="H7" s="16"/>
    </row>
    <row r="8" customFormat="false" ht="15" hidden="false" customHeight="false" outlineLevel="0" collapsed="false">
      <c r="A8" s="16"/>
      <c r="B8" s="16"/>
      <c r="C8" s="16"/>
      <c r="D8" s="16"/>
      <c r="E8" s="17"/>
      <c r="F8" s="17"/>
      <c r="G8" s="17"/>
      <c r="H8" s="16"/>
    </row>
    <row r="9" customFormat="false" ht="15" hidden="false" customHeight="false" outlineLevel="0" collapsed="false">
      <c r="A9" s="16"/>
      <c r="B9" s="16"/>
      <c r="C9" s="16"/>
      <c r="D9" s="16"/>
      <c r="E9" s="17"/>
      <c r="F9" s="17"/>
      <c r="G9" s="17"/>
      <c r="H9" s="16"/>
    </row>
    <row r="10" customFormat="false" ht="15" hidden="false" customHeight="false" outlineLevel="0" collapsed="false">
      <c r="A10" s="16"/>
      <c r="B10" s="16"/>
      <c r="C10" s="16"/>
      <c r="D10" s="16"/>
      <c r="E10" s="17"/>
      <c r="F10" s="17"/>
      <c r="G10" s="17"/>
      <c r="H10" s="16"/>
    </row>
    <row r="11" customFormat="false" ht="15" hidden="false" customHeight="false" outlineLevel="0" collapsed="false">
      <c r="A11" s="16"/>
      <c r="B11" s="16"/>
      <c r="C11" s="16"/>
      <c r="D11" s="16"/>
      <c r="E11" s="17"/>
      <c r="F11" s="17"/>
      <c r="G11" s="17"/>
      <c r="H11" s="16"/>
    </row>
    <row r="12" customFormat="false" ht="15" hidden="false" customHeight="false" outlineLevel="0" collapsed="false">
      <c r="A12" s="16"/>
      <c r="B12" s="16"/>
      <c r="C12" s="16"/>
      <c r="D12" s="16"/>
      <c r="E12" s="17"/>
      <c r="F12" s="17"/>
      <c r="G12" s="17"/>
      <c r="H12" s="16"/>
    </row>
    <row r="13" customFormat="false" ht="15" hidden="false" customHeight="false" outlineLevel="0" collapsed="false">
      <c r="A13" s="16"/>
      <c r="B13" s="16"/>
      <c r="C13" s="16"/>
      <c r="D13" s="16"/>
      <c r="E13" s="17"/>
      <c r="F13" s="17"/>
      <c r="G13" s="17"/>
      <c r="H13" s="16"/>
    </row>
    <row r="14" customFormat="false" ht="15" hidden="false" customHeight="false" outlineLevel="0" collapsed="false">
      <c r="A14" s="16"/>
      <c r="B14" s="16"/>
      <c r="C14" s="16"/>
      <c r="D14" s="16"/>
      <c r="E14" s="17"/>
      <c r="F14" s="17"/>
      <c r="G14" s="17"/>
      <c r="H14" s="16"/>
    </row>
    <row r="15" customFormat="false" ht="15" hidden="false" customHeight="false" outlineLevel="0" collapsed="false">
      <c r="A15" s="16"/>
      <c r="B15" s="16"/>
      <c r="C15" s="16"/>
      <c r="D15" s="16"/>
      <c r="E15" s="17"/>
      <c r="F15" s="17"/>
      <c r="G15" s="17"/>
      <c r="H15" s="16"/>
    </row>
    <row r="16" customFormat="false" ht="15" hidden="false" customHeight="false" outlineLevel="0" collapsed="false">
      <c r="A16" s="16"/>
      <c r="B16" s="16"/>
      <c r="C16" s="16"/>
      <c r="D16" s="16"/>
      <c r="E16" s="17"/>
      <c r="F16" s="17"/>
      <c r="G16" s="17"/>
      <c r="H16" s="16"/>
    </row>
    <row r="17" customFormat="false" ht="15" hidden="false" customHeight="false" outlineLevel="0" collapsed="false">
      <c r="A17" s="16"/>
      <c r="B17" s="16"/>
      <c r="C17" s="16"/>
      <c r="D17" s="16"/>
      <c r="E17" s="17"/>
      <c r="F17" s="17"/>
      <c r="G17" s="17"/>
      <c r="H17" s="16"/>
    </row>
    <row r="18" customFormat="false" ht="15" hidden="false" customHeight="false" outlineLevel="0" collapsed="false">
      <c r="A18" s="16"/>
      <c r="B18" s="16"/>
      <c r="C18" s="16"/>
      <c r="D18" s="16"/>
      <c r="E18" s="17"/>
      <c r="F18" s="17"/>
      <c r="G18" s="17"/>
      <c r="H18" s="16"/>
    </row>
    <row r="19" customFormat="false" ht="15" hidden="false" customHeight="false" outlineLevel="0" collapsed="false">
      <c r="A19" s="16"/>
      <c r="B19" s="16"/>
      <c r="C19" s="16"/>
      <c r="D19" s="16"/>
      <c r="E19" s="17"/>
      <c r="F19" s="17"/>
      <c r="G19" s="17"/>
      <c r="H19" s="16"/>
    </row>
    <row r="20" customFormat="false" ht="15" hidden="false" customHeight="false" outlineLevel="0" collapsed="false">
      <c r="A20" s="16"/>
      <c r="B20" s="16"/>
      <c r="C20" s="16"/>
      <c r="D20" s="16"/>
      <c r="E20" s="17"/>
      <c r="F20" s="17"/>
      <c r="G20" s="17"/>
      <c r="H20" s="16"/>
    </row>
    <row r="21" customFormat="false" ht="15" hidden="false" customHeight="false" outlineLevel="0" collapsed="false">
      <c r="A21" s="16"/>
      <c r="B21" s="16"/>
      <c r="C21" s="16"/>
      <c r="D21" s="16"/>
      <c r="E21" s="17"/>
      <c r="F21" s="17"/>
      <c r="G21" s="17"/>
      <c r="H21" s="16"/>
    </row>
    <row r="22" customFormat="false" ht="15" hidden="false" customHeight="false" outlineLevel="0" collapsed="false">
      <c r="A22" s="16"/>
      <c r="B22" s="16"/>
      <c r="C22" s="16"/>
      <c r="D22" s="16"/>
      <c r="E22" s="17"/>
      <c r="F22" s="17"/>
      <c r="G22" s="17"/>
      <c r="H22" s="16"/>
    </row>
    <row r="23" customFormat="false" ht="15" hidden="false" customHeight="false" outlineLevel="0" collapsed="false">
      <c r="A23" s="16"/>
      <c r="B23" s="16"/>
      <c r="C23" s="16"/>
      <c r="D23" s="16"/>
      <c r="E23" s="17"/>
      <c r="F23" s="17"/>
      <c r="G23" s="17"/>
      <c r="H23" s="16"/>
    </row>
    <row r="24" customFormat="false" ht="15" hidden="false" customHeight="false" outlineLevel="0" collapsed="false">
      <c r="A24" s="16"/>
      <c r="B24" s="16"/>
      <c r="C24" s="16"/>
      <c r="D24" s="16"/>
      <c r="E24" s="17"/>
      <c r="F24" s="17"/>
      <c r="G24" s="17"/>
      <c r="H24" s="16"/>
    </row>
    <row r="25" customFormat="false" ht="15" hidden="false" customHeight="false" outlineLevel="0" collapsed="false">
      <c r="A25" s="16"/>
      <c r="B25" s="16"/>
      <c r="C25" s="16"/>
      <c r="D25" s="16"/>
      <c r="E25" s="17"/>
      <c r="F25" s="17"/>
      <c r="G25" s="17"/>
      <c r="H25" s="16"/>
    </row>
    <row r="26" customFormat="false" ht="15" hidden="false" customHeight="false" outlineLevel="0" collapsed="false">
      <c r="A26" s="16"/>
      <c r="B26" s="16"/>
      <c r="C26" s="16"/>
      <c r="D26" s="16"/>
      <c r="E26" s="17"/>
      <c r="F26" s="17"/>
      <c r="G26" s="17"/>
      <c r="H26" s="16"/>
    </row>
    <row r="27" customFormat="false" ht="15" hidden="false" customHeight="false" outlineLevel="0" collapsed="false">
      <c r="A27" s="16"/>
      <c r="B27" s="16"/>
      <c r="C27" s="16"/>
      <c r="D27" s="16"/>
      <c r="E27" s="17"/>
      <c r="F27" s="17"/>
      <c r="G27" s="17"/>
      <c r="H27" s="16"/>
    </row>
    <row r="28" customFormat="false" ht="15" hidden="false" customHeight="false" outlineLevel="0" collapsed="false">
      <c r="A28" s="16"/>
      <c r="B28" s="16"/>
      <c r="C28" s="16"/>
      <c r="D28" s="16"/>
      <c r="E28" s="17"/>
      <c r="F28" s="17"/>
      <c r="G28" s="17"/>
      <c r="H28" s="16"/>
    </row>
    <row r="29" customFormat="false" ht="15" hidden="false" customHeight="false" outlineLevel="0" collapsed="false">
      <c r="A29" s="16"/>
      <c r="B29" s="16"/>
      <c r="C29" s="16"/>
      <c r="D29" s="16"/>
      <c r="E29" s="17"/>
      <c r="F29" s="17"/>
      <c r="G29" s="17"/>
      <c r="H29" s="16"/>
    </row>
    <row r="30" customFormat="false" ht="15" hidden="false" customHeight="false" outlineLevel="0" collapsed="false">
      <c r="A30" s="16"/>
      <c r="B30" s="16"/>
      <c r="C30" s="16"/>
      <c r="D30" s="16"/>
      <c r="E30" s="17"/>
      <c r="F30" s="17"/>
      <c r="G30" s="17"/>
      <c r="H30" s="16"/>
    </row>
    <row r="31" customFormat="false" ht="15" hidden="false" customHeight="false" outlineLevel="0" collapsed="false">
      <c r="A31" s="16"/>
      <c r="B31" s="16"/>
      <c r="C31" s="16"/>
      <c r="D31" s="16"/>
      <c r="E31" s="17"/>
      <c r="F31" s="17"/>
      <c r="G31" s="17"/>
      <c r="H31" s="16"/>
    </row>
    <row r="32" customFormat="false" ht="15" hidden="false" customHeight="false" outlineLevel="0" collapsed="false">
      <c r="A32" s="16"/>
      <c r="B32" s="16"/>
      <c r="C32" s="16"/>
      <c r="D32" s="16"/>
      <c r="E32" s="17"/>
      <c r="F32" s="17"/>
      <c r="G32" s="17"/>
      <c r="H32" s="16"/>
    </row>
    <row r="33" customFormat="false" ht="15" hidden="false" customHeight="false" outlineLevel="0" collapsed="false">
      <c r="A33" s="16"/>
      <c r="B33" s="16"/>
      <c r="C33" s="16"/>
      <c r="D33" s="16"/>
      <c r="E33" s="17"/>
      <c r="F33" s="17"/>
      <c r="G33" s="17"/>
      <c r="H33" s="16"/>
    </row>
    <row r="34" customFormat="false" ht="15" hidden="false" customHeight="false" outlineLevel="0" collapsed="false">
      <c r="A34" s="16"/>
      <c r="B34" s="16"/>
      <c r="C34" s="16"/>
      <c r="D34" s="16"/>
      <c r="E34" s="17"/>
      <c r="F34" s="17"/>
      <c r="G34" s="17"/>
      <c r="H34" s="16"/>
    </row>
    <row r="35" customFormat="false" ht="15" hidden="false" customHeight="false" outlineLevel="0" collapsed="false">
      <c r="A35" s="16"/>
      <c r="B35" s="16"/>
      <c r="C35" s="16"/>
      <c r="D35" s="16"/>
      <c r="E35" s="17"/>
      <c r="F35" s="17"/>
      <c r="G35" s="17"/>
      <c r="H35" s="16"/>
    </row>
    <row r="36" customFormat="false" ht="15" hidden="false" customHeight="false" outlineLevel="0" collapsed="false">
      <c r="A36" s="16"/>
      <c r="B36" s="16"/>
      <c r="C36" s="16"/>
      <c r="D36" s="16"/>
      <c r="E36" s="17"/>
      <c r="F36" s="17"/>
      <c r="G36" s="17"/>
      <c r="H36" s="16"/>
    </row>
    <row r="37" customFormat="false" ht="15" hidden="false" customHeight="false" outlineLevel="0" collapsed="false">
      <c r="A37" s="16"/>
      <c r="B37" s="16"/>
      <c r="C37" s="16"/>
      <c r="D37" s="16"/>
      <c r="E37" s="17"/>
      <c r="F37" s="17"/>
      <c r="G37" s="17"/>
      <c r="H37" s="16"/>
    </row>
    <row r="38" customFormat="false" ht="15" hidden="false" customHeight="false" outlineLevel="0" collapsed="false">
      <c r="A38" s="16"/>
      <c r="B38" s="16"/>
      <c r="C38" s="16"/>
      <c r="D38" s="16"/>
      <c r="E38" s="17"/>
      <c r="F38" s="17"/>
      <c r="G38" s="17"/>
      <c r="H38" s="16"/>
    </row>
    <row r="39" customFormat="false" ht="15" hidden="false" customHeight="false" outlineLevel="0" collapsed="false">
      <c r="A39" s="16"/>
      <c r="B39" s="16"/>
      <c r="C39" s="16"/>
      <c r="D39" s="16"/>
      <c r="E39" s="17"/>
      <c r="F39" s="17"/>
      <c r="G39" s="17"/>
      <c r="H39" s="16"/>
    </row>
    <row r="40" customFormat="false" ht="15" hidden="false" customHeight="false" outlineLevel="0" collapsed="false">
      <c r="A40" s="16"/>
      <c r="B40" s="16"/>
      <c r="C40" s="16"/>
      <c r="D40" s="16"/>
      <c r="E40" s="17"/>
      <c r="F40" s="17"/>
      <c r="G40" s="17"/>
      <c r="H40" s="16"/>
    </row>
    <row r="41" customFormat="false" ht="15" hidden="false" customHeight="false" outlineLevel="0" collapsed="false">
      <c r="A41" s="16"/>
      <c r="B41" s="16"/>
      <c r="C41" s="16"/>
      <c r="D41" s="16"/>
      <c r="E41" s="17"/>
      <c r="F41" s="17"/>
      <c r="G41" s="17"/>
      <c r="H41" s="16"/>
    </row>
    <row r="42" customFormat="false" ht="15" hidden="false" customHeight="false" outlineLevel="0" collapsed="false">
      <c r="A42" s="16"/>
      <c r="B42" s="16"/>
      <c r="C42" s="16"/>
      <c r="D42" s="16"/>
      <c r="E42" s="17"/>
      <c r="F42" s="17"/>
      <c r="G42" s="17"/>
      <c r="H42" s="16"/>
    </row>
    <row r="43" customFormat="false" ht="15" hidden="false" customHeight="false" outlineLevel="0" collapsed="false">
      <c r="A43" s="16"/>
      <c r="B43" s="16"/>
      <c r="C43" s="16"/>
      <c r="D43" s="16"/>
      <c r="E43" s="17"/>
      <c r="F43" s="17"/>
      <c r="G43" s="17"/>
      <c r="H43" s="16"/>
    </row>
    <row r="44" customFormat="false" ht="15" hidden="false" customHeight="false" outlineLevel="0" collapsed="false">
      <c r="A44" s="16"/>
      <c r="B44" s="16"/>
      <c r="C44" s="16"/>
      <c r="D44" s="16"/>
      <c r="E44" s="17"/>
      <c r="F44" s="17"/>
      <c r="G44" s="17"/>
      <c r="H44" s="16"/>
    </row>
    <row r="45" customFormat="false" ht="15" hidden="false" customHeight="false" outlineLevel="0" collapsed="false">
      <c r="A45" s="16"/>
      <c r="B45" s="16"/>
      <c r="C45" s="16"/>
      <c r="D45" s="16"/>
      <c r="E45" s="17"/>
      <c r="F45" s="17"/>
      <c r="G45" s="17"/>
      <c r="H45" s="16"/>
    </row>
    <row r="46" customFormat="false" ht="15" hidden="false" customHeight="false" outlineLevel="0" collapsed="false">
      <c r="A46" s="16"/>
      <c r="B46" s="16"/>
      <c r="C46" s="16"/>
      <c r="D46" s="16"/>
      <c r="E46" s="17"/>
      <c r="F46" s="17"/>
      <c r="G46" s="17"/>
      <c r="H46" s="16"/>
    </row>
    <row r="47" customFormat="false" ht="15" hidden="false" customHeight="false" outlineLevel="0" collapsed="false">
      <c r="A47" s="16"/>
      <c r="B47" s="16"/>
      <c r="C47" s="16"/>
      <c r="D47" s="16"/>
      <c r="E47" s="17"/>
      <c r="F47" s="17"/>
      <c r="G47" s="17"/>
      <c r="H47" s="16"/>
    </row>
    <row r="48" customFormat="false" ht="15" hidden="false" customHeight="false" outlineLevel="0" collapsed="false">
      <c r="A48" s="16"/>
      <c r="B48" s="16"/>
      <c r="C48" s="16"/>
      <c r="D48" s="16"/>
      <c r="E48" s="17"/>
      <c r="F48" s="17"/>
      <c r="G48" s="17"/>
      <c r="H48" s="16"/>
    </row>
    <row r="49" customFormat="false" ht="15" hidden="false" customHeight="false" outlineLevel="0" collapsed="false">
      <c r="A49" s="16"/>
      <c r="B49" s="16"/>
      <c r="C49" s="16"/>
      <c r="D49" s="16"/>
      <c r="E49" s="17"/>
      <c r="F49" s="17"/>
      <c r="G49" s="17"/>
      <c r="H49" s="16"/>
    </row>
    <row r="50" customFormat="false" ht="15" hidden="false" customHeight="false" outlineLevel="0" collapsed="false">
      <c r="A50" s="16"/>
      <c r="B50" s="16"/>
      <c r="C50" s="16"/>
      <c r="D50" s="16"/>
      <c r="E50" s="17"/>
      <c r="F50" s="17"/>
      <c r="G50" s="17"/>
      <c r="H50" s="16"/>
    </row>
    <row r="51" customFormat="false" ht="15" hidden="false" customHeight="false" outlineLevel="0" collapsed="false">
      <c r="A51" s="16"/>
      <c r="B51" s="16"/>
      <c r="C51" s="16"/>
      <c r="D51" s="16"/>
      <c r="E51" s="17"/>
      <c r="F51" s="17"/>
      <c r="G51" s="17"/>
      <c r="H51" s="16"/>
    </row>
    <row r="52" customFormat="false" ht="15" hidden="false" customHeight="false" outlineLevel="0" collapsed="false">
      <c r="A52" s="16"/>
      <c r="B52" s="16"/>
      <c r="C52" s="16"/>
      <c r="D52" s="16"/>
      <c r="E52" s="17"/>
      <c r="F52" s="17"/>
      <c r="G52" s="17"/>
      <c r="H52" s="16"/>
    </row>
    <row r="53" customFormat="false" ht="15" hidden="false" customHeight="false" outlineLevel="0" collapsed="false">
      <c r="A53" s="16"/>
      <c r="B53" s="16"/>
      <c r="C53" s="16"/>
      <c r="D53" s="16"/>
      <c r="E53" s="17"/>
      <c r="F53" s="17"/>
      <c r="G53" s="17"/>
      <c r="H53" s="16"/>
    </row>
    <row r="54" customFormat="false" ht="15" hidden="false" customHeight="false" outlineLevel="0" collapsed="false">
      <c r="A54" s="16"/>
      <c r="B54" s="16"/>
      <c r="C54" s="16"/>
      <c r="D54" s="16"/>
      <c r="E54" s="17"/>
      <c r="F54" s="17"/>
      <c r="G54" s="17"/>
      <c r="H54" s="16"/>
    </row>
    <row r="55" customFormat="false" ht="15" hidden="false" customHeight="false" outlineLevel="0" collapsed="false">
      <c r="A55" s="16"/>
      <c r="B55" s="16"/>
      <c r="C55" s="16"/>
      <c r="D55" s="16"/>
      <c r="E55" s="17"/>
      <c r="F55" s="17"/>
      <c r="G55" s="17"/>
      <c r="H55" s="16"/>
    </row>
    <row r="56" customFormat="false" ht="15" hidden="false" customHeight="false" outlineLevel="0" collapsed="false">
      <c r="A56" s="16"/>
      <c r="B56" s="16"/>
      <c r="C56" s="16"/>
      <c r="D56" s="16"/>
      <c r="E56" s="17"/>
      <c r="F56" s="17"/>
      <c r="G56" s="17"/>
      <c r="H56" s="16"/>
    </row>
    <row r="57" customFormat="false" ht="15" hidden="false" customHeight="false" outlineLevel="0" collapsed="false">
      <c r="A57" s="16"/>
      <c r="B57" s="16"/>
      <c r="C57" s="16"/>
      <c r="D57" s="16"/>
      <c r="E57" s="17"/>
      <c r="F57" s="17"/>
      <c r="G57" s="17"/>
      <c r="H57" s="16"/>
    </row>
    <row r="58" customFormat="false" ht="15" hidden="false" customHeight="false" outlineLevel="0" collapsed="false">
      <c r="A58" s="16"/>
      <c r="B58" s="16"/>
      <c r="C58" s="16"/>
      <c r="D58" s="16"/>
      <c r="E58" s="17"/>
      <c r="F58" s="17"/>
      <c r="G58" s="17"/>
      <c r="H58" s="16"/>
    </row>
    <row r="59" customFormat="false" ht="15" hidden="false" customHeight="false" outlineLevel="0" collapsed="false">
      <c r="A59" s="16"/>
      <c r="B59" s="16"/>
      <c r="C59" s="16"/>
      <c r="D59" s="16"/>
      <c r="E59" s="17"/>
      <c r="F59" s="17"/>
      <c r="G59" s="17"/>
      <c r="H59" s="16"/>
    </row>
    <row r="60" customFormat="false" ht="15" hidden="false" customHeight="false" outlineLevel="0" collapsed="false">
      <c r="A60" s="16"/>
      <c r="B60" s="16"/>
      <c r="C60" s="16"/>
      <c r="D60" s="16"/>
      <c r="E60" s="17"/>
      <c r="F60" s="17"/>
      <c r="G60" s="17"/>
      <c r="H60" s="16"/>
    </row>
    <row r="61" customFormat="false" ht="15" hidden="false" customHeight="false" outlineLevel="0" collapsed="false">
      <c r="A61" s="16"/>
      <c r="B61" s="16"/>
      <c r="C61" s="16"/>
      <c r="D61" s="16"/>
      <c r="E61" s="17"/>
      <c r="F61" s="17"/>
      <c r="G61" s="17"/>
      <c r="H61" s="16"/>
    </row>
    <row r="62" customFormat="false" ht="15" hidden="false" customHeight="false" outlineLevel="0" collapsed="false">
      <c r="A62" s="16"/>
      <c r="B62" s="16"/>
      <c r="C62" s="16"/>
      <c r="D62" s="16"/>
      <c r="E62" s="17"/>
      <c r="F62" s="17"/>
      <c r="G62" s="17"/>
      <c r="H62" s="16"/>
    </row>
    <row r="63" customFormat="false" ht="15" hidden="false" customHeight="false" outlineLevel="0" collapsed="false">
      <c r="A63" s="16"/>
      <c r="B63" s="16"/>
      <c r="C63" s="16"/>
      <c r="D63" s="16"/>
      <c r="E63" s="17"/>
      <c r="F63" s="17"/>
      <c r="G63" s="17"/>
      <c r="H63" s="16"/>
    </row>
    <row r="64" customFormat="false" ht="15" hidden="false" customHeight="false" outlineLevel="0" collapsed="false">
      <c r="A64" s="16"/>
      <c r="B64" s="16"/>
      <c r="C64" s="16"/>
      <c r="D64" s="16"/>
      <c r="E64" s="17"/>
      <c r="F64" s="17"/>
      <c r="G64" s="17"/>
      <c r="H64" s="16"/>
    </row>
    <row r="65" customFormat="false" ht="15" hidden="false" customHeight="false" outlineLevel="0" collapsed="false">
      <c r="A65" s="16"/>
      <c r="B65" s="16"/>
      <c r="C65" s="16"/>
      <c r="D65" s="16"/>
      <c r="E65" s="17"/>
      <c r="F65" s="17"/>
      <c r="G65" s="17"/>
      <c r="H65" s="16"/>
    </row>
    <row r="66" customFormat="false" ht="15" hidden="false" customHeight="false" outlineLevel="0" collapsed="false">
      <c r="A66" s="16"/>
      <c r="B66" s="16"/>
      <c r="C66" s="16"/>
      <c r="D66" s="16"/>
      <c r="E66" s="17"/>
      <c r="F66" s="17"/>
      <c r="G66" s="17"/>
      <c r="H66" s="16"/>
    </row>
    <row r="67" customFormat="false" ht="15" hidden="false" customHeight="false" outlineLevel="0" collapsed="false">
      <c r="A67" s="16"/>
      <c r="B67" s="16"/>
      <c r="C67" s="16"/>
      <c r="D67" s="16"/>
      <c r="E67" s="17"/>
      <c r="F67" s="17"/>
      <c r="G67" s="17"/>
      <c r="H67" s="16"/>
    </row>
    <row r="68" customFormat="false" ht="15" hidden="false" customHeight="false" outlineLevel="0" collapsed="false">
      <c r="A68" s="16"/>
      <c r="B68" s="16"/>
      <c r="C68" s="16"/>
      <c r="D68" s="16"/>
      <c r="E68" s="17"/>
      <c r="F68" s="17"/>
      <c r="G68" s="17"/>
      <c r="H68" s="16"/>
    </row>
    <row r="69" customFormat="false" ht="15" hidden="false" customHeight="false" outlineLevel="0" collapsed="false">
      <c r="A69" s="16"/>
      <c r="B69" s="16"/>
      <c r="C69" s="16"/>
      <c r="D69" s="16"/>
      <c r="E69" s="17"/>
      <c r="F69" s="17"/>
      <c r="G69" s="17"/>
      <c r="H69" s="16"/>
    </row>
    <row r="70" customFormat="false" ht="15" hidden="false" customHeight="false" outlineLevel="0" collapsed="false">
      <c r="A70" s="16"/>
      <c r="B70" s="16"/>
      <c r="C70" s="16"/>
      <c r="D70" s="16"/>
      <c r="E70" s="17"/>
      <c r="F70" s="17"/>
      <c r="G70" s="17"/>
      <c r="H70" s="16"/>
    </row>
    <row r="71" customFormat="false" ht="15" hidden="false" customHeight="false" outlineLevel="0" collapsed="false">
      <c r="A71" s="16"/>
      <c r="B71" s="16"/>
      <c r="C71" s="16"/>
      <c r="D71" s="16"/>
      <c r="E71" s="17"/>
      <c r="F71" s="17"/>
      <c r="G71" s="17"/>
      <c r="H71" s="16"/>
    </row>
    <row r="72" customFormat="false" ht="15" hidden="false" customHeight="false" outlineLevel="0" collapsed="false">
      <c r="A72" s="16"/>
      <c r="B72" s="16"/>
      <c r="C72" s="16"/>
      <c r="D72" s="16"/>
      <c r="E72" s="17"/>
      <c r="F72" s="17"/>
      <c r="G72" s="17"/>
      <c r="H72" s="16"/>
    </row>
    <row r="73" customFormat="false" ht="15" hidden="false" customHeight="false" outlineLevel="0" collapsed="false">
      <c r="A73" s="16"/>
      <c r="B73" s="16"/>
      <c r="C73" s="16"/>
      <c r="D73" s="16"/>
      <c r="E73" s="17"/>
      <c r="F73" s="17"/>
      <c r="G73" s="17"/>
      <c r="H73" s="16"/>
    </row>
    <row r="74" customFormat="false" ht="15" hidden="false" customHeight="false" outlineLevel="0" collapsed="false">
      <c r="A74" s="16"/>
      <c r="B74" s="16"/>
      <c r="C74" s="16"/>
      <c r="D74" s="16"/>
      <c r="E74" s="17"/>
      <c r="F74" s="17"/>
      <c r="G74" s="17"/>
      <c r="H74" s="16"/>
    </row>
    <row r="75" customFormat="false" ht="15" hidden="false" customHeight="false" outlineLevel="0" collapsed="false">
      <c r="A75" s="16"/>
      <c r="B75" s="16"/>
      <c r="C75" s="16"/>
      <c r="D75" s="16"/>
      <c r="E75" s="17"/>
      <c r="F75" s="17"/>
      <c r="G75" s="17"/>
      <c r="H75" s="16"/>
    </row>
    <row r="76" customFormat="false" ht="15" hidden="false" customHeight="false" outlineLevel="0" collapsed="false">
      <c r="A76" s="16"/>
      <c r="B76" s="16"/>
      <c r="C76" s="16"/>
      <c r="D76" s="16"/>
      <c r="E76" s="17"/>
      <c r="F76" s="17"/>
      <c r="G76" s="17"/>
      <c r="H76" s="16"/>
    </row>
    <row r="77" customFormat="false" ht="15" hidden="false" customHeight="false" outlineLevel="0" collapsed="false">
      <c r="A77" s="16"/>
      <c r="B77" s="16"/>
      <c r="C77" s="16"/>
      <c r="D77" s="16"/>
      <c r="E77" s="17"/>
      <c r="F77" s="17"/>
      <c r="G77" s="17"/>
      <c r="H77" s="16"/>
    </row>
    <row r="78" customFormat="false" ht="15" hidden="false" customHeight="false" outlineLevel="0" collapsed="false">
      <c r="A78" s="16"/>
      <c r="B78" s="16"/>
      <c r="C78" s="16"/>
      <c r="D78" s="16"/>
      <c r="E78" s="17"/>
      <c r="F78" s="17"/>
      <c r="G78" s="17"/>
      <c r="H78" s="16"/>
    </row>
    <row r="79" customFormat="false" ht="15" hidden="false" customHeight="false" outlineLevel="0" collapsed="false">
      <c r="A79" s="16"/>
      <c r="B79" s="16"/>
      <c r="C79" s="16"/>
      <c r="D79" s="16"/>
      <c r="E79" s="17"/>
      <c r="F79" s="17"/>
      <c r="G79" s="17"/>
      <c r="H79" s="16"/>
    </row>
    <row r="80" customFormat="false" ht="15" hidden="false" customHeight="false" outlineLevel="0" collapsed="false">
      <c r="A80" s="16"/>
      <c r="B80" s="16"/>
      <c r="C80" s="16"/>
      <c r="D80" s="16"/>
      <c r="E80" s="17"/>
      <c r="F80" s="17"/>
      <c r="G80" s="17"/>
      <c r="H80" s="16"/>
    </row>
    <row r="81" customFormat="false" ht="15" hidden="false" customHeight="false" outlineLevel="0" collapsed="false">
      <c r="A81" s="16"/>
      <c r="B81" s="16"/>
      <c r="C81" s="16"/>
      <c r="D81" s="16"/>
      <c r="E81" s="17"/>
      <c r="F81" s="17"/>
      <c r="G81" s="17"/>
      <c r="H81" s="16"/>
    </row>
    <row r="82" customFormat="false" ht="15" hidden="false" customHeight="false" outlineLevel="0" collapsed="false">
      <c r="A82" s="16"/>
      <c r="B82" s="16"/>
      <c r="C82" s="16"/>
      <c r="D82" s="16"/>
      <c r="E82" s="17"/>
      <c r="F82" s="17"/>
      <c r="G82" s="17"/>
      <c r="H82" s="16"/>
    </row>
    <row r="83" customFormat="false" ht="15" hidden="false" customHeight="false" outlineLevel="0" collapsed="false">
      <c r="A83" s="16"/>
      <c r="B83" s="16"/>
      <c r="C83" s="16"/>
      <c r="D83" s="16"/>
      <c r="E83" s="17"/>
      <c r="F83" s="17"/>
      <c r="G83" s="17"/>
      <c r="H83" s="16"/>
    </row>
    <row r="84" customFormat="false" ht="15" hidden="false" customHeight="false" outlineLevel="0" collapsed="false">
      <c r="A84" s="16"/>
      <c r="B84" s="16"/>
      <c r="C84" s="16"/>
      <c r="D84" s="16"/>
      <c r="E84" s="17"/>
      <c r="F84" s="17"/>
      <c r="G84" s="17"/>
      <c r="H84" s="16"/>
    </row>
    <row r="85" customFormat="false" ht="15" hidden="false" customHeight="false" outlineLevel="0" collapsed="false">
      <c r="A85" s="16"/>
      <c r="B85" s="16"/>
      <c r="C85" s="16"/>
      <c r="D85" s="16"/>
      <c r="E85" s="17"/>
      <c r="F85" s="17"/>
      <c r="G85" s="17"/>
      <c r="H85" s="16"/>
    </row>
    <row r="86" customFormat="false" ht="15" hidden="false" customHeight="false" outlineLevel="0" collapsed="false">
      <c r="A86" s="16"/>
      <c r="B86" s="16"/>
      <c r="C86" s="16"/>
      <c r="D86" s="16"/>
      <c r="E86" s="17"/>
      <c r="F86" s="17"/>
      <c r="G86" s="17"/>
      <c r="H86" s="16"/>
    </row>
    <row r="87" customFormat="false" ht="15" hidden="false" customHeight="false" outlineLevel="0" collapsed="false">
      <c r="A87" s="16"/>
      <c r="B87" s="16"/>
      <c r="C87" s="16"/>
      <c r="D87" s="16"/>
      <c r="E87" s="17"/>
      <c r="F87" s="17"/>
      <c r="G87" s="17"/>
      <c r="H87" s="16"/>
    </row>
    <row r="88" customFormat="false" ht="15" hidden="false" customHeight="false" outlineLevel="0" collapsed="false">
      <c r="A88" s="16"/>
      <c r="B88" s="16"/>
      <c r="C88" s="16"/>
      <c r="D88" s="16"/>
      <c r="E88" s="17"/>
      <c r="F88" s="17"/>
      <c r="G88" s="17"/>
      <c r="H88" s="16"/>
    </row>
    <row r="89" customFormat="false" ht="15" hidden="false" customHeight="false" outlineLevel="0" collapsed="false">
      <c r="A89" s="16"/>
      <c r="B89" s="16"/>
      <c r="C89" s="16"/>
      <c r="D89" s="16"/>
      <c r="E89" s="17"/>
      <c r="F89" s="17"/>
      <c r="G89" s="17"/>
      <c r="H89" s="16"/>
    </row>
    <row r="90" customFormat="false" ht="15" hidden="false" customHeight="false" outlineLevel="0" collapsed="false">
      <c r="A90" s="16"/>
      <c r="B90" s="16"/>
      <c r="C90" s="16"/>
      <c r="D90" s="16"/>
      <c r="E90" s="17"/>
      <c r="F90" s="17"/>
      <c r="G90" s="17"/>
      <c r="H90" s="16"/>
    </row>
    <row r="91" customFormat="false" ht="15" hidden="false" customHeight="false" outlineLevel="0" collapsed="false">
      <c r="A91" s="16"/>
      <c r="B91" s="16"/>
      <c r="C91" s="16"/>
      <c r="D91" s="16"/>
      <c r="E91" s="17"/>
      <c r="F91" s="17"/>
      <c r="G91" s="17"/>
      <c r="H91" s="16"/>
    </row>
    <row r="92" customFormat="false" ht="15" hidden="false" customHeight="false" outlineLevel="0" collapsed="false">
      <c r="A92" s="16"/>
      <c r="B92" s="16"/>
      <c r="C92" s="16"/>
      <c r="D92" s="16"/>
      <c r="E92" s="17"/>
      <c r="F92" s="17"/>
      <c r="G92" s="17"/>
      <c r="H92" s="16"/>
    </row>
    <row r="93" customFormat="false" ht="15" hidden="false" customHeight="false" outlineLevel="0" collapsed="false">
      <c r="A93" s="16"/>
      <c r="B93" s="16"/>
      <c r="C93" s="16"/>
      <c r="D93" s="16"/>
      <c r="E93" s="17"/>
      <c r="F93" s="17"/>
      <c r="G93" s="17"/>
      <c r="H93" s="16"/>
    </row>
    <row r="94" customFormat="false" ht="15" hidden="false" customHeight="false" outlineLevel="0" collapsed="false">
      <c r="A94" s="16"/>
      <c r="B94" s="16"/>
      <c r="C94" s="16"/>
      <c r="D94" s="16"/>
      <c r="E94" s="17"/>
      <c r="F94" s="17"/>
      <c r="G94" s="17"/>
      <c r="H94" s="16"/>
    </row>
    <row r="95" customFormat="false" ht="15" hidden="false" customHeight="false" outlineLevel="0" collapsed="false">
      <c r="A95" s="16"/>
      <c r="B95" s="16"/>
      <c r="C95" s="16"/>
      <c r="D95" s="16"/>
      <c r="E95" s="17"/>
      <c r="F95" s="17"/>
      <c r="G95" s="17"/>
      <c r="H95" s="16"/>
    </row>
    <row r="96" customFormat="false" ht="15" hidden="false" customHeight="false" outlineLevel="0" collapsed="false">
      <c r="A96" s="16"/>
      <c r="B96" s="16"/>
      <c r="C96" s="16"/>
      <c r="D96" s="16"/>
      <c r="E96" s="17"/>
      <c r="F96" s="17"/>
      <c r="G96" s="17"/>
      <c r="H96" s="16"/>
    </row>
    <row r="97" customFormat="false" ht="15" hidden="false" customHeight="false" outlineLevel="0" collapsed="false">
      <c r="A97" s="16"/>
      <c r="B97" s="16"/>
      <c r="C97" s="16"/>
      <c r="D97" s="16"/>
      <c r="E97" s="17"/>
      <c r="F97" s="17"/>
      <c r="G97" s="17"/>
      <c r="H97" s="16"/>
    </row>
    <row r="98" customFormat="false" ht="15" hidden="false" customHeight="false" outlineLevel="0" collapsed="false">
      <c r="A98" s="16"/>
      <c r="B98" s="16"/>
      <c r="C98" s="16"/>
      <c r="D98" s="16"/>
      <c r="E98" s="17"/>
      <c r="F98" s="17"/>
      <c r="G98" s="17"/>
      <c r="H98" s="16"/>
    </row>
    <row r="99" customFormat="false" ht="15" hidden="false" customHeight="false" outlineLevel="0" collapsed="false">
      <c r="A99" s="16"/>
      <c r="B99" s="16"/>
      <c r="C99" s="16"/>
      <c r="D99" s="16"/>
      <c r="E99" s="17"/>
      <c r="F99" s="17"/>
      <c r="G99" s="17"/>
      <c r="H99" s="16"/>
    </row>
    <row r="100" customFormat="false" ht="15" hidden="false" customHeight="false" outlineLevel="0" collapsed="false">
      <c r="A100" s="16"/>
      <c r="B100" s="16"/>
      <c r="C100" s="16"/>
      <c r="D100" s="16"/>
      <c r="E100" s="17"/>
      <c r="F100" s="17"/>
      <c r="G100" s="17"/>
      <c r="H100" s="16"/>
    </row>
    <row r="101" customFormat="false" ht="15" hidden="false" customHeight="false" outlineLevel="0" collapsed="false">
      <c r="A101" s="16"/>
      <c r="B101" s="16"/>
      <c r="C101" s="16"/>
      <c r="D101" s="16"/>
      <c r="E101" s="17"/>
      <c r="F101" s="17"/>
      <c r="G101" s="17"/>
      <c r="H101" s="16"/>
    </row>
    <row r="102" customFormat="false" ht="15" hidden="false" customHeight="false" outlineLevel="0" collapsed="false">
      <c r="A102" s="16"/>
      <c r="B102" s="16"/>
      <c r="C102" s="16"/>
      <c r="D102" s="16"/>
      <c r="E102" s="17"/>
      <c r="F102" s="17"/>
      <c r="G102" s="17"/>
      <c r="H102" s="16"/>
    </row>
    <row r="103" customFormat="false" ht="15" hidden="false" customHeight="false" outlineLevel="0" collapsed="false">
      <c r="A103" s="16"/>
      <c r="B103" s="16"/>
      <c r="C103" s="16"/>
      <c r="D103" s="16"/>
      <c r="E103" s="17"/>
      <c r="F103" s="17"/>
      <c r="G103" s="17"/>
      <c r="H103" s="16"/>
    </row>
    <row r="104" customFormat="false" ht="15" hidden="false" customHeight="false" outlineLevel="0" collapsed="false">
      <c r="A104" s="16"/>
      <c r="B104" s="16"/>
      <c r="C104" s="16"/>
      <c r="D104" s="16"/>
      <c r="E104" s="17"/>
      <c r="F104" s="17"/>
      <c r="G104" s="17"/>
      <c r="H104" s="16"/>
    </row>
    <row r="105" customFormat="false" ht="15" hidden="false" customHeight="false" outlineLevel="0" collapsed="false">
      <c r="A105" s="16"/>
      <c r="B105" s="16"/>
      <c r="C105" s="16"/>
      <c r="D105" s="16"/>
      <c r="E105" s="17"/>
      <c r="F105" s="17"/>
      <c r="G105" s="17"/>
      <c r="H105" s="16"/>
    </row>
    <row r="106" customFormat="false" ht="15" hidden="false" customHeight="false" outlineLevel="0" collapsed="false">
      <c r="A106" s="16"/>
      <c r="B106" s="16"/>
      <c r="C106" s="16"/>
      <c r="D106" s="16"/>
      <c r="E106" s="17"/>
      <c r="F106" s="17"/>
      <c r="G106" s="17"/>
      <c r="H106" s="16"/>
    </row>
    <row r="107" customFormat="false" ht="15" hidden="false" customHeight="false" outlineLevel="0" collapsed="false">
      <c r="A107" s="16"/>
      <c r="B107" s="16"/>
      <c r="C107" s="16"/>
      <c r="D107" s="16"/>
      <c r="E107" s="17"/>
      <c r="F107" s="17"/>
      <c r="G107" s="17"/>
      <c r="H107" s="16"/>
    </row>
    <row r="108" customFormat="false" ht="15" hidden="false" customHeight="false" outlineLevel="0" collapsed="false">
      <c r="A108" s="16"/>
      <c r="B108" s="16"/>
      <c r="C108" s="16"/>
      <c r="D108" s="16"/>
      <c r="E108" s="17"/>
      <c r="F108" s="17"/>
      <c r="G108" s="17"/>
      <c r="H108" s="16"/>
    </row>
    <row r="109" customFormat="false" ht="15" hidden="false" customHeight="false" outlineLevel="0" collapsed="false">
      <c r="A109" s="16"/>
      <c r="B109" s="16"/>
      <c r="C109" s="16"/>
      <c r="D109" s="16"/>
      <c r="E109" s="17"/>
      <c r="F109" s="17"/>
      <c r="G109" s="17"/>
      <c r="H109" s="16"/>
    </row>
    <row r="110" customFormat="false" ht="15" hidden="false" customHeight="false" outlineLevel="0" collapsed="false">
      <c r="A110" s="16"/>
      <c r="B110" s="16"/>
      <c r="C110" s="16"/>
      <c r="D110" s="16"/>
      <c r="E110" s="17"/>
      <c r="F110" s="17"/>
      <c r="G110" s="17"/>
      <c r="H110" s="16"/>
    </row>
    <row r="111" customFormat="false" ht="15" hidden="false" customHeight="false" outlineLevel="0" collapsed="false">
      <c r="A111" s="16"/>
      <c r="B111" s="16"/>
      <c r="C111" s="16"/>
      <c r="D111" s="16"/>
      <c r="E111" s="17"/>
      <c r="F111" s="17"/>
      <c r="G111" s="17"/>
      <c r="H111" s="16"/>
    </row>
    <row r="112" customFormat="false" ht="15" hidden="false" customHeight="false" outlineLevel="0" collapsed="false">
      <c r="A112" s="16"/>
      <c r="B112" s="16"/>
      <c r="C112" s="16"/>
      <c r="D112" s="16"/>
      <c r="E112" s="17"/>
      <c r="F112" s="17"/>
      <c r="G112" s="17"/>
      <c r="H112" s="16"/>
    </row>
    <row r="113" customFormat="false" ht="15" hidden="false" customHeight="false" outlineLevel="0" collapsed="false">
      <c r="A113" s="16"/>
      <c r="B113" s="16"/>
      <c r="C113" s="16"/>
      <c r="D113" s="16"/>
      <c r="E113" s="17"/>
      <c r="F113" s="17"/>
      <c r="G113" s="17"/>
      <c r="H113" s="16"/>
    </row>
    <row r="114" customFormat="false" ht="15" hidden="false" customHeight="false" outlineLevel="0" collapsed="false">
      <c r="A114" s="16"/>
      <c r="B114" s="16"/>
      <c r="C114" s="16"/>
      <c r="D114" s="16"/>
      <c r="E114" s="17"/>
      <c r="F114" s="17"/>
      <c r="G114" s="17"/>
      <c r="H114" s="16"/>
    </row>
    <row r="115" customFormat="false" ht="15" hidden="false" customHeight="false" outlineLevel="0" collapsed="false">
      <c r="A115" s="16"/>
      <c r="B115" s="16"/>
      <c r="C115" s="16"/>
      <c r="D115" s="16"/>
      <c r="E115" s="17"/>
      <c r="F115" s="17"/>
      <c r="G115" s="17"/>
      <c r="H115" s="16"/>
    </row>
    <row r="116" customFormat="false" ht="15" hidden="false" customHeight="false" outlineLevel="0" collapsed="false">
      <c r="A116" s="16"/>
      <c r="B116" s="16"/>
      <c r="C116" s="16"/>
      <c r="D116" s="16"/>
      <c r="E116" s="17"/>
      <c r="F116" s="17"/>
      <c r="G116" s="17"/>
      <c r="H116" s="16"/>
    </row>
    <row r="117" customFormat="false" ht="15" hidden="false" customHeight="false" outlineLevel="0" collapsed="false">
      <c r="A117" s="16"/>
      <c r="B117" s="16"/>
      <c r="C117" s="16"/>
      <c r="D117" s="16"/>
      <c r="E117" s="17"/>
      <c r="F117" s="17"/>
      <c r="G117" s="17"/>
      <c r="H117" s="16"/>
    </row>
    <row r="118" customFormat="false" ht="15" hidden="false" customHeight="false" outlineLevel="0" collapsed="false">
      <c r="A118" s="16"/>
      <c r="B118" s="16"/>
      <c r="C118" s="16"/>
      <c r="D118" s="16"/>
      <c r="E118" s="17"/>
      <c r="F118" s="17"/>
      <c r="G118" s="17"/>
      <c r="H118" s="16"/>
    </row>
    <row r="119" customFormat="false" ht="15" hidden="false" customHeight="false" outlineLevel="0" collapsed="false">
      <c r="A119" s="16"/>
      <c r="B119" s="16"/>
      <c r="C119" s="16"/>
      <c r="D119" s="16"/>
      <c r="E119" s="17"/>
      <c r="F119" s="17"/>
      <c r="G119" s="17"/>
      <c r="H119" s="16"/>
    </row>
    <row r="120" customFormat="false" ht="15" hidden="false" customHeight="false" outlineLevel="0" collapsed="false">
      <c r="A120" s="16"/>
      <c r="B120" s="16"/>
      <c r="C120" s="16"/>
      <c r="D120" s="16"/>
      <c r="E120" s="17"/>
      <c r="F120" s="17"/>
      <c r="G120" s="17"/>
      <c r="H120" s="16"/>
    </row>
    <row r="121" customFormat="false" ht="15" hidden="false" customHeight="false" outlineLevel="0" collapsed="false">
      <c r="A121" s="16"/>
      <c r="B121" s="16"/>
      <c r="C121" s="16"/>
      <c r="D121" s="16"/>
      <c r="E121" s="17"/>
      <c r="F121" s="17"/>
      <c r="G121" s="17"/>
      <c r="H121" s="16"/>
    </row>
    <row r="122" customFormat="false" ht="15" hidden="false" customHeight="false" outlineLevel="0" collapsed="false">
      <c r="A122" s="16"/>
      <c r="B122" s="16"/>
      <c r="C122" s="16"/>
      <c r="D122" s="16"/>
      <c r="E122" s="17"/>
      <c r="F122" s="17"/>
      <c r="G122" s="17"/>
      <c r="H122" s="16"/>
    </row>
    <row r="123" customFormat="false" ht="15" hidden="false" customHeight="false" outlineLevel="0" collapsed="false">
      <c r="A123" s="16"/>
      <c r="B123" s="16"/>
      <c r="C123" s="16"/>
      <c r="D123" s="16"/>
      <c r="E123" s="17"/>
      <c r="F123" s="17"/>
      <c r="G123" s="17"/>
      <c r="H123" s="16"/>
    </row>
    <row r="124" customFormat="false" ht="15" hidden="false" customHeight="false" outlineLevel="0" collapsed="false">
      <c r="A124" s="16"/>
      <c r="B124" s="16"/>
      <c r="C124" s="16"/>
      <c r="D124" s="16"/>
      <c r="E124" s="17"/>
      <c r="F124" s="17"/>
      <c r="G124" s="17"/>
      <c r="H124" s="16"/>
    </row>
    <row r="125" customFormat="false" ht="15" hidden="false" customHeight="false" outlineLevel="0" collapsed="false">
      <c r="A125" s="16"/>
      <c r="B125" s="16"/>
      <c r="C125" s="16"/>
      <c r="D125" s="16"/>
      <c r="E125" s="17"/>
      <c r="F125" s="17"/>
      <c r="G125" s="17"/>
      <c r="H125" s="16"/>
    </row>
    <row r="126" customFormat="false" ht="15" hidden="false" customHeight="false" outlineLevel="0" collapsed="false">
      <c r="A126" s="16"/>
      <c r="B126" s="16"/>
      <c r="C126" s="16"/>
      <c r="D126" s="16"/>
      <c r="E126" s="17"/>
      <c r="F126" s="17"/>
      <c r="G126" s="17"/>
      <c r="H126" s="16"/>
    </row>
    <row r="127" customFormat="false" ht="15" hidden="false" customHeight="false" outlineLevel="0" collapsed="false">
      <c r="A127" s="16"/>
      <c r="B127" s="16"/>
      <c r="C127" s="16"/>
      <c r="D127" s="16"/>
      <c r="E127" s="17"/>
      <c r="F127" s="17"/>
      <c r="G127" s="17"/>
      <c r="H127" s="16"/>
    </row>
    <row r="128" customFormat="false" ht="15" hidden="false" customHeight="false" outlineLevel="0" collapsed="false">
      <c r="A128" s="16"/>
      <c r="B128" s="16"/>
      <c r="C128" s="16"/>
      <c r="D128" s="16"/>
      <c r="E128" s="17"/>
      <c r="F128" s="17"/>
      <c r="G128" s="17"/>
      <c r="H128" s="16"/>
    </row>
    <row r="129" customFormat="false" ht="15" hidden="false" customHeight="false" outlineLevel="0" collapsed="false">
      <c r="A129" s="16"/>
      <c r="B129" s="16"/>
      <c r="C129" s="16"/>
      <c r="D129" s="16"/>
      <c r="E129" s="17"/>
      <c r="F129" s="17"/>
      <c r="G129" s="17"/>
      <c r="H129" s="16"/>
    </row>
    <row r="130" customFormat="false" ht="15" hidden="false" customHeight="false" outlineLevel="0" collapsed="false">
      <c r="A130" s="16"/>
      <c r="B130" s="16"/>
      <c r="C130" s="16"/>
      <c r="D130" s="16"/>
      <c r="E130" s="17"/>
      <c r="F130" s="17"/>
      <c r="G130" s="17"/>
      <c r="H130" s="16"/>
    </row>
    <row r="131" customFormat="false" ht="15" hidden="false" customHeight="false" outlineLevel="0" collapsed="false">
      <c r="A131" s="16"/>
      <c r="B131" s="16"/>
      <c r="C131" s="16"/>
      <c r="D131" s="16"/>
      <c r="E131" s="17"/>
      <c r="F131" s="17"/>
      <c r="G131" s="17"/>
      <c r="H131" s="16"/>
    </row>
    <row r="132" customFormat="false" ht="15" hidden="false" customHeight="false" outlineLevel="0" collapsed="false">
      <c r="A132" s="16"/>
      <c r="B132" s="16"/>
      <c r="C132" s="16"/>
      <c r="D132" s="16"/>
      <c r="E132" s="17"/>
      <c r="F132" s="17"/>
      <c r="G132" s="17"/>
      <c r="H132" s="16"/>
    </row>
    <row r="133" customFormat="false" ht="15" hidden="false" customHeight="false" outlineLevel="0" collapsed="false">
      <c r="A133" s="16"/>
      <c r="B133" s="16"/>
      <c r="C133" s="16"/>
      <c r="D133" s="16"/>
      <c r="E133" s="17"/>
      <c r="F133" s="17"/>
      <c r="G133" s="17"/>
      <c r="H133" s="16"/>
    </row>
    <row r="134" customFormat="false" ht="15" hidden="false" customHeight="false" outlineLevel="0" collapsed="false">
      <c r="A134" s="16"/>
      <c r="B134" s="16"/>
      <c r="C134" s="16"/>
      <c r="D134" s="16"/>
      <c r="E134" s="17"/>
      <c r="F134" s="17"/>
      <c r="G134" s="17"/>
      <c r="H134" s="16"/>
    </row>
    <row r="135" customFormat="false" ht="15" hidden="false" customHeight="false" outlineLevel="0" collapsed="false">
      <c r="A135" s="16"/>
      <c r="B135" s="16"/>
      <c r="C135" s="16"/>
      <c r="D135" s="16"/>
      <c r="E135" s="17"/>
      <c r="F135" s="17"/>
      <c r="G135" s="17"/>
      <c r="H135" s="16"/>
    </row>
    <row r="136" customFormat="false" ht="15" hidden="false" customHeight="false" outlineLevel="0" collapsed="false">
      <c r="A136" s="16"/>
      <c r="B136" s="16"/>
      <c r="C136" s="16"/>
      <c r="D136" s="16"/>
      <c r="E136" s="17"/>
      <c r="F136" s="17"/>
      <c r="G136" s="17"/>
      <c r="H136" s="16"/>
    </row>
    <row r="137" customFormat="false" ht="15" hidden="false" customHeight="false" outlineLevel="0" collapsed="false">
      <c r="A137" s="16"/>
      <c r="B137" s="16"/>
      <c r="C137" s="16"/>
      <c r="D137" s="16"/>
      <c r="E137" s="17"/>
      <c r="F137" s="17"/>
      <c r="G137" s="17"/>
      <c r="H137" s="16"/>
    </row>
    <row r="138" customFormat="false" ht="15" hidden="false" customHeight="false" outlineLevel="0" collapsed="false">
      <c r="A138" s="16"/>
      <c r="B138" s="16"/>
      <c r="C138" s="16"/>
      <c r="D138" s="16"/>
      <c r="E138" s="17"/>
      <c r="F138" s="17"/>
      <c r="G138" s="17"/>
      <c r="H138" s="16"/>
    </row>
    <row r="139" customFormat="false" ht="15" hidden="false" customHeight="false" outlineLevel="0" collapsed="false">
      <c r="A139" s="16"/>
      <c r="B139" s="16"/>
      <c r="C139" s="16"/>
      <c r="D139" s="16"/>
      <c r="E139" s="17"/>
      <c r="F139" s="17"/>
      <c r="G139" s="17"/>
      <c r="H139" s="16"/>
    </row>
    <row r="140" customFormat="false" ht="15" hidden="false" customHeight="false" outlineLevel="0" collapsed="false">
      <c r="A140" s="16"/>
      <c r="B140" s="16"/>
      <c r="C140" s="16"/>
      <c r="D140" s="16"/>
      <c r="E140" s="17"/>
      <c r="F140" s="17"/>
      <c r="G140" s="17"/>
      <c r="H140" s="16"/>
    </row>
    <row r="141" customFormat="false" ht="15" hidden="false" customHeight="false" outlineLevel="0" collapsed="false">
      <c r="A141" s="16"/>
      <c r="B141" s="16"/>
      <c r="C141" s="16"/>
      <c r="D141" s="16"/>
      <c r="E141" s="17"/>
      <c r="F141" s="17"/>
      <c r="G141" s="17"/>
      <c r="H141" s="16"/>
    </row>
    <row r="142" customFormat="false" ht="15" hidden="false" customHeight="false" outlineLevel="0" collapsed="false">
      <c r="A142" s="16"/>
      <c r="B142" s="16"/>
      <c r="C142" s="16"/>
      <c r="D142" s="16"/>
      <c r="E142" s="17"/>
      <c r="F142" s="17"/>
      <c r="G142" s="17"/>
      <c r="H142" s="16"/>
    </row>
    <row r="143" customFormat="false" ht="15" hidden="false" customHeight="false" outlineLevel="0" collapsed="false">
      <c r="A143" s="16"/>
      <c r="B143" s="16"/>
      <c r="C143" s="16"/>
      <c r="D143" s="16"/>
      <c r="E143" s="17"/>
      <c r="F143" s="17"/>
      <c r="G143" s="17"/>
      <c r="H143" s="16"/>
    </row>
    <row r="144" customFormat="false" ht="15" hidden="false" customHeight="false" outlineLevel="0" collapsed="false">
      <c r="A144" s="16"/>
      <c r="B144" s="16"/>
      <c r="C144" s="16"/>
      <c r="D144" s="16"/>
      <c r="E144" s="17"/>
      <c r="F144" s="17"/>
      <c r="G144" s="17"/>
      <c r="H144" s="16"/>
    </row>
    <row r="145" customFormat="false" ht="15" hidden="false" customHeight="false" outlineLevel="0" collapsed="false">
      <c r="A145" s="16"/>
      <c r="B145" s="16"/>
      <c r="C145" s="16"/>
      <c r="D145" s="16"/>
      <c r="E145" s="17"/>
      <c r="F145" s="17"/>
      <c r="G145" s="17"/>
      <c r="H145" s="16"/>
    </row>
    <row r="146" customFormat="false" ht="15" hidden="false" customHeight="false" outlineLevel="0" collapsed="false">
      <c r="A146" s="16"/>
      <c r="B146" s="16"/>
      <c r="C146" s="16"/>
      <c r="D146" s="16"/>
      <c r="E146" s="17"/>
      <c r="F146" s="17"/>
      <c r="G146" s="17"/>
      <c r="H146" s="16"/>
    </row>
    <row r="147" customFormat="false" ht="15" hidden="false" customHeight="false" outlineLevel="0" collapsed="false">
      <c r="A147" s="16"/>
      <c r="B147" s="16"/>
      <c r="C147" s="16"/>
      <c r="D147" s="16"/>
      <c r="E147" s="17"/>
      <c r="F147" s="17"/>
      <c r="G147" s="17"/>
      <c r="H147" s="16"/>
    </row>
    <row r="148" customFormat="false" ht="15" hidden="false" customHeight="false" outlineLevel="0" collapsed="false">
      <c r="A148" s="16"/>
      <c r="B148" s="16"/>
      <c r="C148" s="16"/>
      <c r="D148" s="16"/>
      <c r="E148" s="17"/>
      <c r="F148" s="17"/>
      <c r="G148" s="17"/>
      <c r="H148" s="16"/>
    </row>
    <row r="149" customFormat="false" ht="15" hidden="false" customHeight="false" outlineLevel="0" collapsed="false">
      <c r="A149" s="16"/>
      <c r="B149" s="16"/>
      <c r="C149" s="16"/>
      <c r="D149" s="16"/>
      <c r="E149" s="17"/>
      <c r="F149" s="17"/>
      <c r="G149" s="17"/>
      <c r="H149" s="16"/>
    </row>
    <row r="150" customFormat="false" ht="15" hidden="false" customHeight="false" outlineLevel="0" collapsed="false">
      <c r="A150" s="16"/>
      <c r="B150" s="16"/>
      <c r="C150" s="16"/>
      <c r="D150" s="16"/>
      <c r="E150" s="17"/>
      <c r="F150" s="17"/>
      <c r="G150" s="17"/>
      <c r="H150" s="16"/>
    </row>
    <row r="151" customFormat="false" ht="15" hidden="false" customHeight="false" outlineLevel="0" collapsed="false">
      <c r="A151" s="16"/>
      <c r="B151" s="16"/>
      <c r="C151" s="16"/>
      <c r="D151" s="16"/>
      <c r="E151" s="17"/>
      <c r="F151" s="17"/>
      <c r="G151" s="17"/>
      <c r="H151" s="16"/>
    </row>
    <row r="152" customFormat="false" ht="15" hidden="false" customHeight="false" outlineLevel="0" collapsed="false">
      <c r="A152" s="16"/>
      <c r="B152" s="16"/>
      <c r="C152" s="16"/>
      <c r="D152" s="16"/>
      <c r="E152" s="17"/>
      <c r="F152" s="17"/>
      <c r="G152" s="17"/>
      <c r="H152" s="16"/>
    </row>
    <row r="153" customFormat="false" ht="15" hidden="false" customHeight="false" outlineLevel="0" collapsed="false">
      <c r="A153" s="16"/>
      <c r="B153" s="16"/>
      <c r="C153" s="16"/>
      <c r="D153" s="16"/>
      <c r="E153" s="17"/>
      <c r="F153" s="17"/>
      <c r="G153" s="17"/>
      <c r="H153" s="16"/>
    </row>
    <row r="154" customFormat="false" ht="15" hidden="false" customHeight="false" outlineLevel="0" collapsed="false">
      <c r="A154" s="16"/>
      <c r="B154" s="16"/>
      <c r="C154" s="16"/>
      <c r="D154" s="16"/>
      <c r="E154" s="17"/>
      <c r="F154" s="17"/>
      <c r="G154" s="17"/>
      <c r="H154" s="16"/>
    </row>
    <row r="155" customFormat="false" ht="15" hidden="false" customHeight="false" outlineLevel="0" collapsed="false">
      <c r="A155" s="16"/>
      <c r="B155" s="16"/>
      <c r="C155" s="16"/>
      <c r="D155" s="16"/>
      <c r="E155" s="17"/>
      <c r="F155" s="17"/>
      <c r="G155" s="17"/>
      <c r="H155" s="16"/>
    </row>
    <row r="156" customFormat="false" ht="15" hidden="false" customHeight="false" outlineLevel="0" collapsed="false">
      <c r="A156" s="16"/>
      <c r="B156" s="16"/>
      <c r="C156" s="16"/>
      <c r="D156" s="16"/>
      <c r="E156" s="17"/>
      <c r="F156" s="17"/>
      <c r="G156" s="17"/>
      <c r="H156" s="16"/>
    </row>
    <row r="157" customFormat="false" ht="15" hidden="false" customHeight="false" outlineLevel="0" collapsed="false">
      <c r="A157" s="16"/>
      <c r="B157" s="16"/>
      <c r="C157" s="16"/>
      <c r="D157" s="16"/>
      <c r="E157" s="17"/>
      <c r="F157" s="17"/>
      <c r="G157" s="17"/>
      <c r="H157" s="16"/>
    </row>
    <row r="158" customFormat="false" ht="15" hidden="false" customHeight="false" outlineLevel="0" collapsed="false">
      <c r="A158" s="16"/>
      <c r="B158" s="16"/>
      <c r="C158" s="16"/>
      <c r="D158" s="16"/>
      <c r="E158" s="17"/>
      <c r="F158" s="17"/>
      <c r="G158" s="17"/>
      <c r="H158" s="16"/>
    </row>
    <row r="159" customFormat="false" ht="15" hidden="false" customHeight="false" outlineLevel="0" collapsed="false">
      <c r="A159" s="16"/>
      <c r="B159" s="16"/>
      <c r="C159" s="16"/>
      <c r="D159" s="16"/>
      <c r="E159" s="17"/>
      <c r="F159" s="17"/>
      <c r="G159" s="17"/>
      <c r="H159" s="16"/>
    </row>
    <row r="160" customFormat="false" ht="15" hidden="false" customHeight="false" outlineLevel="0" collapsed="false">
      <c r="A160" s="16"/>
      <c r="B160" s="16"/>
      <c r="C160" s="16"/>
      <c r="D160" s="16"/>
      <c r="E160" s="17"/>
      <c r="F160" s="17"/>
      <c r="G160" s="17"/>
      <c r="H160" s="16"/>
    </row>
    <row r="161" customFormat="false" ht="15" hidden="false" customHeight="false" outlineLevel="0" collapsed="false">
      <c r="A161" s="16"/>
      <c r="B161" s="16"/>
      <c r="C161" s="16"/>
      <c r="D161" s="16"/>
      <c r="E161" s="17"/>
      <c r="F161" s="17"/>
      <c r="G161" s="17"/>
      <c r="H161" s="16"/>
    </row>
    <row r="162" customFormat="false" ht="15" hidden="false" customHeight="false" outlineLevel="0" collapsed="false">
      <c r="A162" s="16"/>
      <c r="B162" s="16"/>
      <c r="C162" s="16"/>
      <c r="D162" s="16"/>
      <c r="E162" s="17"/>
      <c r="F162" s="17"/>
      <c r="G162" s="17"/>
      <c r="H162" s="16"/>
    </row>
    <row r="163" customFormat="false" ht="15" hidden="false" customHeight="false" outlineLevel="0" collapsed="false">
      <c r="A163" s="16"/>
      <c r="B163" s="16"/>
      <c r="C163" s="16"/>
      <c r="D163" s="16"/>
      <c r="E163" s="17"/>
      <c r="F163" s="17"/>
      <c r="G163" s="17"/>
      <c r="H163" s="16"/>
    </row>
    <row r="164" customFormat="false" ht="15" hidden="false" customHeight="false" outlineLevel="0" collapsed="false">
      <c r="A164" s="16"/>
      <c r="B164" s="16"/>
      <c r="C164" s="16"/>
      <c r="D164" s="16"/>
      <c r="E164" s="17"/>
      <c r="F164" s="17"/>
      <c r="G164" s="17"/>
      <c r="H164" s="16"/>
    </row>
    <row r="165" customFormat="false" ht="15" hidden="false" customHeight="false" outlineLevel="0" collapsed="false">
      <c r="A165" s="16"/>
      <c r="B165" s="16"/>
      <c r="C165" s="16"/>
      <c r="D165" s="16"/>
      <c r="E165" s="17"/>
      <c r="F165" s="17"/>
      <c r="G165" s="17"/>
      <c r="H165" s="16"/>
    </row>
    <row r="166" customFormat="false" ht="15" hidden="false" customHeight="false" outlineLevel="0" collapsed="false">
      <c r="A166" s="16"/>
      <c r="B166" s="16"/>
      <c r="C166" s="16"/>
      <c r="D166" s="16"/>
      <c r="E166" s="17"/>
      <c r="F166" s="17"/>
      <c r="G166" s="17"/>
      <c r="H166" s="16"/>
    </row>
    <row r="167" customFormat="false" ht="15" hidden="false" customHeight="false" outlineLevel="0" collapsed="false">
      <c r="A167" s="16"/>
      <c r="B167" s="16"/>
      <c r="C167" s="16"/>
      <c r="D167" s="16"/>
      <c r="E167" s="17"/>
      <c r="F167" s="17"/>
      <c r="G167" s="17"/>
      <c r="H167" s="16"/>
    </row>
    <row r="168" customFormat="false" ht="15" hidden="false" customHeight="false" outlineLevel="0" collapsed="false">
      <c r="A168" s="16"/>
      <c r="B168" s="16"/>
      <c r="C168" s="16"/>
      <c r="D168" s="16"/>
      <c r="E168" s="17"/>
      <c r="F168" s="17"/>
      <c r="G168" s="17"/>
      <c r="H168" s="16"/>
    </row>
    <row r="169" customFormat="false" ht="15" hidden="false" customHeight="false" outlineLevel="0" collapsed="false">
      <c r="A169" s="16"/>
      <c r="B169" s="16"/>
      <c r="C169" s="16"/>
      <c r="D169" s="16"/>
      <c r="E169" s="17"/>
      <c r="F169" s="17"/>
      <c r="G169" s="17"/>
      <c r="H169" s="16"/>
    </row>
    <row r="170" customFormat="false" ht="15" hidden="false" customHeight="false" outlineLevel="0" collapsed="false">
      <c r="A170" s="16"/>
      <c r="B170" s="16"/>
      <c r="C170" s="16"/>
      <c r="D170" s="16"/>
      <c r="E170" s="17"/>
      <c r="F170" s="17"/>
      <c r="G170" s="17"/>
      <c r="H170" s="16"/>
    </row>
    <row r="171" customFormat="false" ht="15" hidden="false" customHeight="false" outlineLevel="0" collapsed="false">
      <c r="A171" s="16"/>
      <c r="B171" s="16"/>
      <c r="C171" s="16"/>
      <c r="D171" s="16"/>
      <c r="E171" s="17"/>
      <c r="F171" s="17"/>
      <c r="G171" s="17"/>
      <c r="H171" s="16"/>
    </row>
    <row r="172" customFormat="false" ht="15" hidden="false" customHeight="false" outlineLevel="0" collapsed="false">
      <c r="A172" s="16"/>
      <c r="B172" s="16"/>
      <c r="C172" s="16"/>
      <c r="D172" s="16"/>
      <c r="E172" s="17"/>
      <c r="F172" s="17"/>
      <c r="G172" s="17"/>
      <c r="H172" s="16"/>
    </row>
    <row r="173" customFormat="false" ht="15" hidden="false" customHeight="false" outlineLevel="0" collapsed="false">
      <c r="A173" s="16"/>
      <c r="B173" s="16"/>
      <c r="C173" s="16"/>
      <c r="D173" s="16"/>
      <c r="E173" s="17"/>
      <c r="F173" s="17"/>
      <c r="G173" s="17"/>
      <c r="H173" s="16"/>
    </row>
    <row r="174" customFormat="false" ht="15" hidden="false" customHeight="false" outlineLevel="0" collapsed="false">
      <c r="A174" s="16"/>
      <c r="B174" s="16"/>
      <c r="C174" s="16"/>
      <c r="D174" s="16"/>
      <c r="E174" s="17"/>
      <c r="F174" s="17"/>
      <c r="G174" s="17"/>
      <c r="H174" s="16"/>
    </row>
    <row r="175" customFormat="false" ht="15" hidden="false" customHeight="false" outlineLevel="0" collapsed="false">
      <c r="A175" s="16"/>
      <c r="B175" s="16"/>
      <c r="C175" s="16"/>
      <c r="D175" s="16"/>
      <c r="E175" s="17"/>
      <c r="F175" s="17"/>
      <c r="G175" s="17"/>
      <c r="H175" s="16"/>
    </row>
    <row r="176" customFormat="false" ht="15" hidden="false" customHeight="false" outlineLevel="0" collapsed="false">
      <c r="A176" s="16"/>
      <c r="B176" s="16"/>
      <c r="C176" s="16"/>
      <c r="D176" s="16"/>
      <c r="E176" s="17"/>
      <c r="F176" s="17"/>
      <c r="G176" s="17"/>
      <c r="H176" s="16"/>
    </row>
    <row r="177" customFormat="false" ht="15" hidden="false" customHeight="false" outlineLevel="0" collapsed="false">
      <c r="A177" s="16"/>
      <c r="B177" s="16"/>
      <c r="C177" s="16"/>
      <c r="D177" s="16"/>
      <c r="E177" s="17"/>
      <c r="F177" s="17"/>
      <c r="G177" s="17"/>
      <c r="H177" s="16"/>
    </row>
    <row r="178" customFormat="false" ht="15" hidden="false" customHeight="false" outlineLevel="0" collapsed="false">
      <c r="A178" s="16"/>
      <c r="B178" s="16"/>
      <c r="C178" s="16"/>
      <c r="D178" s="16"/>
      <c r="E178" s="17"/>
      <c r="F178" s="17"/>
      <c r="G178" s="17"/>
      <c r="H178" s="16"/>
    </row>
    <row r="179" customFormat="false" ht="15" hidden="false" customHeight="false" outlineLevel="0" collapsed="false">
      <c r="A179" s="16"/>
      <c r="B179" s="16"/>
      <c r="C179" s="16"/>
      <c r="D179" s="16"/>
      <c r="E179" s="17"/>
      <c r="F179" s="17"/>
      <c r="G179" s="17"/>
      <c r="H179" s="16"/>
    </row>
    <row r="180" customFormat="false" ht="15" hidden="false" customHeight="false" outlineLevel="0" collapsed="false">
      <c r="A180" s="16"/>
      <c r="B180" s="16"/>
      <c r="C180" s="16"/>
      <c r="D180" s="16"/>
      <c r="E180" s="17"/>
      <c r="F180" s="17"/>
      <c r="G180" s="17"/>
      <c r="H180" s="16"/>
    </row>
    <row r="181" customFormat="false" ht="15" hidden="false" customHeight="false" outlineLevel="0" collapsed="false">
      <c r="A181" s="16"/>
      <c r="B181" s="16"/>
      <c r="C181" s="16"/>
      <c r="D181" s="16"/>
      <c r="E181" s="17"/>
      <c r="F181" s="17"/>
      <c r="G181" s="17"/>
      <c r="H181" s="16"/>
    </row>
    <row r="182" customFormat="false" ht="15" hidden="false" customHeight="false" outlineLevel="0" collapsed="false">
      <c r="A182" s="16"/>
      <c r="B182" s="16"/>
      <c r="C182" s="16"/>
      <c r="D182" s="16"/>
      <c r="E182" s="17"/>
      <c r="F182" s="17"/>
      <c r="G182" s="17"/>
      <c r="H182" s="16"/>
    </row>
    <row r="183" customFormat="false" ht="15" hidden="false" customHeight="false" outlineLevel="0" collapsed="false">
      <c r="A183" s="16"/>
      <c r="B183" s="16"/>
      <c r="C183" s="16"/>
      <c r="D183" s="16"/>
      <c r="E183" s="17"/>
      <c r="F183" s="17"/>
      <c r="G183" s="17"/>
      <c r="H183" s="16"/>
    </row>
    <row r="184" customFormat="false" ht="15" hidden="false" customHeight="false" outlineLevel="0" collapsed="false">
      <c r="A184" s="16"/>
      <c r="B184" s="16"/>
      <c r="C184" s="16"/>
      <c r="D184" s="16"/>
      <c r="E184" s="17"/>
      <c r="F184" s="17"/>
      <c r="G184" s="17"/>
      <c r="H184" s="16"/>
    </row>
    <row r="185" customFormat="false" ht="15" hidden="false" customHeight="false" outlineLevel="0" collapsed="false">
      <c r="A185" s="16"/>
      <c r="B185" s="16"/>
      <c r="C185" s="16"/>
      <c r="D185" s="16"/>
      <c r="E185" s="17"/>
      <c r="F185" s="17"/>
      <c r="G185" s="17"/>
      <c r="H185" s="16"/>
    </row>
    <row r="186" customFormat="false" ht="15" hidden="false" customHeight="false" outlineLevel="0" collapsed="false">
      <c r="A186" s="16"/>
      <c r="B186" s="16"/>
      <c r="C186" s="16"/>
      <c r="D186" s="16"/>
      <c r="E186" s="17"/>
      <c r="F186" s="17"/>
      <c r="G186" s="17"/>
      <c r="H186" s="16"/>
    </row>
    <row r="187" customFormat="false" ht="15" hidden="false" customHeight="false" outlineLevel="0" collapsed="false">
      <c r="A187" s="16"/>
      <c r="B187" s="16"/>
      <c r="C187" s="16"/>
      <c r="D187" s="16"/>
      <c r="E187" s="17"/>
      <c r="F187" s="17"/>
      <c r="G187" s="17"/>
      <c r="H187" s="16"/>
    </row>
    <row r="188" customFormat="false" ht="15" hidden="false" customHeight="false" outlineLevel="0" collapsed="false">
      <c r="A188" s="16"/>
      <c r="B188" s="16"/>
      <c r="C188" s="16"/>
      <c r="D188" s="16"/>
      <c r="E188" s="17"/>
      <c r="F188" s="17"/>
      <c r="G188" s="17"/>
      <c r="H188" s="16"/>
    </row>
    <row r="189" customFormat="false" ht="15" hidden="false" customHeight="false" outlineLevel="0" collapsed="false">
      <c r="A189" s="16"/>
      <c r="B189" s="16"/>
      <c r="C189" s="16"/>
      <c r="D189" s="16"/>
      <c r="E189" s="17"/>
      <c r="F189" s="17"/>
      <c r="G189" s="17"/>
      <c r="H189" s="16"/>
    </row>
    <row r="190" customFormat="false" ht="15" hidden="false" customHeight="false" outlineLevel="0" collapsed="false">
      <c r="A190" s="16"/>
      <c r="B190" s="16"/>
      <c r="C190" s="16"/>
      <c r="D190" s="16"/>
      <c r="E190" s="17"/>
      <c r="F190" s="17"/>
      <c r="G190" s="17"/>
      <c r="H190" s="16"/>
    </row>
    <row r="191" customFormat="false" ht="15" hidden="false" customHeight="false" outlineLevel="0" collapsed="false">
      <c r="A191" s="16"/>
      <c r="B191" s="16"/>
      <c r="C191" s="16"/>
      <c r="D191" s="16"/>
      <c r="E191" s="17"/>
      <c r="F191" s="17"/>
      <c r="G191" s="17"/>
      <c r="H191" s="16"/>
    </row>
    <row r="192" customFormat="false" ht="15" hidden="false" customHeight="false" outlineLevel="0" collapsed="false">
      <c r="A192" s="16"/>
      <c r="B192" s="16"/>
      <c r="C192" s="16"/>
      <c r="D192" s="16"/>
      <c r="E192" s="17"/>
      <c r="F192" s="17"/>
      <c r="G192" s="17"/>
      <c r="H192" s="16"/>
    </row>
    <row r="193" customFormat="false" ht="15" hidden="false" customHeight="false" outlineLevel="0" collapsed="false">
      <c r="A193" s="16"/>
      <c r="B193" s="16"/>
      <c r="C193" s="16"/>
      <c r="D193" s="16"/>
      <c r="E193" s="17"/>
      <c r="F193" s="17"/>
      <c r="G193" s="17"/>
      <c r="H193" s="16"/>
    </row>
    <row r="194" customFormat="false" ht="15" hidden="false" customHeight="false" outlineLevel="0" collapsed="false">
      <c r="A194" s="16"/>
      <c r="B194" s="16"/>
      <c r="C194" s="16"/>
      <c r="D194" s="16"/>
      <c r="E194" s="17"/>
      <c r="F194" s="17"/>
      <c r="G194" s="17"/>
      <c r="H194" s="16"/>
    </row>
    <row r="195" customFormat="false" ht="15" hidden="false" customHeight="false" outlineLevel="0" collapsed="false">
      <c r="A195" s="16"/>
      <c r="B195" s="16"/>
      <c r="C195" s="16"/>
      <c r="D195" s="16"/>
      <c r="E195" s="17"/>
      <c r="F195" s="17"/>
      <c r="G195" s="17"/>
      <c r="H195" s="16"/>
    </row>
    <row r="196" customFormat="false" ht="15" hidden="false" customHeight="false" outlineLevel="0" collapsed="false">
      <c r="A196" s="16"/>
      <c r="B196" s="16"/>
      <c r="C196" s="16"/>
      <c r="D196" s="16"/>
      <c r="E196" s="17"/>
      <c r="F196" s="17"/>
      <c r="G196" s="17"/>
      <c r="H196" s="16"/>
    </row>
    <row r="197" customFormat="false" ht="15" hidden="false" customHeight="false" outlineLevel="0" collapsed="false">
      <c r="A197" s="16"/>
      <c r="B197" s="16"/>
      <c r="C197" s="16"/>
      <c r="D197" s="16"/>
      <c r="E197" s="17"/>
      <c r="F197" s="17"/>
      <c r="G197" s="17"/>
      <c r="H197" s="16"/>
    </row>
    <row r="198" customFormat="false" ht="15" hidden="false" customHeight="false" outlineLevel="0" collapsed="false">
      <c r="A198" s="16"/>
      <c r="B198" s="16"/>
      <c r="C198" s="16"/>
      <c r="D198" s="16"/>
      <c r="E198" s="17"/>
      <c r="F198" s="17"/>
      <c r="G198" s="17"/>
      <c r="H198" s="16"/>
    </row>
    <row r="199" customFormat="false" ht="15" hidden="false" customHeight="false" outlineLevel="0" collapsed="false">
      <c r="A199" s="16"/>
      <c r="B199" s="16"/>
      <c r="C199" s="16"/>
      <c r="D199" s="16"/>
      <c r="E199" s="17"/>
      <c r="F199" s="17"/>
      <c r="G199" s="17"/>
      <c r="H199" s="16"/>
    </row>
    <row r="200" customFormat="false" ht="15" hidden="false" customHeight="false" outlineLevel="0" collapsed="false">
      <c r="A200" s="16"/>
      <c r="B200" s="16"/>
      <c r="C200" s="16"/>
      <c r="D200" s="16"/>
      <c r="E200" s="17"/>
      <c r="F200" s="17"/>
      <c r="G200" s="17"/>
      <c r="H200" s="16"/>
    </row>
    <row r="201" customFormat="false" ht="15" hidden="false" customHeight="false" outlineLevel="0" collapsed="false">
      <c r="A201" s="16"/>
      <c r="B201" s="16"/>
      <c r="C201" s="16"/>
      <c r="D201" s="16"/>
      <c r="E201" s="17"/>
      <c r="F201" s="17"/>
      <c r="G201" s="17"/>
      <c r="H201" s="16"/>
    </row>
    <row r="202" customFormat="false" ht="15" hidden="false" customHeight="false" outlineLevel="0" collapsed="false">
      <c r="A202" s="16"/>
      <c r="B202" s="16"/>
      <c r="C202" s="16"/>
      <c r="D202" s="16"/>
      <c r="E202" s="17"/>
      <c r="F202" s="17"/>
      <c r="G202" s="17"/>
      <c r="H202" s="16"/>
    </row>
    <row r="203" customFormat="false" ht="15" hidden="false" customHeight="false" outlineLevel="0" collapsed="false">
      <c r="A203" s="16"/>
      <c r="B203" s="16"/>
      <c r="C203" s="16"/>
      <c r="D203" s="16"/>
      <c r="E203" s="17"/>
      <c r="F203" s="17"/>
      <c r="G203" s="17"/>
      <c r="H203" s="16"/>
    </row>
    <row r="204" customFormat="false" ht="15" hidden="false" customHeight="false" outlineLevel="0" collapsed="false">
      <c r="A204" s="16"/>
      <c r="B204" s="16"/>
      <c r="C204" s="16"/>
      <c r="D204" s="16"/>
      <c r="E204" s="17"/>
      <c r="F204" s="17"/>
      <c r="G204" s="17"/>
      <c r="H204" s="16"/>
    </row>
    <row r="205" customFormat="false" ht="15" hidden="false" customHeight="false" outlineLevel="0" collapsed="false">
      <c r="A205" s="16"/>
      <c r="B205" s="16"/>
      <c r="C205" s="16"/>
      <c r="D205" s="16"/>
      <c r="E205" s="17"/>
      <c r="F205" s="17"/>
      <c r="G205" s="17"/>
      <c r="H205" s="16"/>
    </row>
    <row r="206" customFormat="false" ht="15" hidden="false" customHeight="false" outlineLevel="0" collapsed="false">
      <c r="A206" s="16"/>
      <c r="B206" s="16"/>
      <c r="C206" s="16"/>
      <c r="D206" s="16"/>
      <c r="E206" s="17"/>
      <c r="F206" s="17"/>
      <c r="G206" s="17"/>
      <c r="H206" s="16"/>
    </row>
    <row r="207" customFormat="false" ht="15" hidden="false" customHeight="false" outlineLevel="0" collapsed="false">
      <c r="A207" s="16"/>
      <c r="B207" s="16"/>
      <c r="C207" s="16"/>
      <c r="D207" s="16"/>
      <c r="E207" s="17"/>
      <c r="F207" s="17"/>
      <c r="G207" s="17"/>
      <c r="H207" s="16"/>
    </row>
    <row r="208" customFormat="false" ht="15" hidden="false" customHeight="false" outlineLevel="0" collapsed="false">
      <c r="A208" s="16"/>
      <c r="B208" s="16"/>
      <c r="C208" s="16"/>
      <c r="D208" s="16"/>
      <c r="E208" s="17"/>
      <c r="F208" s="17"/>
      <c r="G208" s="17"/>
      <c r="H208" s="16"/>
    </row>
    <row r="209" customFormat="false" ht="15" hidden="false" customHeight="false" outlineLevel="0" collapsed="false">
      <c r="A209" s="16"/>
      <c r="B209" s="16"/>
      <c r="C209" s="16"/>
      <c r="D209" s="16"/>
      <c r="E209" s="17"/>
      <c r="F209" s="17"/>
      <c r="G209" s="17"/>
      <c r="H209" s="16"/>
    </row>
    <row r="210" customFormat="false" ht="15" hidden="false" customHeight="false" outlineLevel="0" collapsed="false">
      <c r="A210" s="16"/>
      <c r="B210" s="16"/>
      <c r="C210" s="16"/>
      <c r="D210" s="16"/>
      <c r="E210" s="17"/>
      <c r="F210" s="17"/>
      <c r="G210" s="17"/>
      <c r="H210" s="16"/>
    </row>
    <row r="211" customFormat="false" ht="15" hidden="false" customHeight="false" outlineLevel="0" collapsed="false">
      <c r="A211" s="16"/>
      <c r="B211" s="16"/>
      <c r="C211" s="16"/>
      <c r="D211" s="16"/>
      <c r="E211" s="17"/>
      <c r="F211" s="17"/>
      <c r="G211" s="17"/>
      <c r="H211" s="16"/>
    </row>
    <row r="212" customFormat="false" ht="15" hidden="false" customHeight="false" outlineLevel="0" collapsed="false">
      <c r="A212" s="16"/>
      <c r="B212" s="16"/>
      <c r="C212" s="16"/>
      <c r="D212" s="16"/>
      <c r="E212" s="17"/>
      <c r="F212" s="17"/>
      <c r="G212" s="17"/>
      <c r="H212" s="16"/>
    </row>
    <row r="213" customFormat="false" ht="15" hidden="false" customHeight="false" outlineLevel="0" collapsed="false">
      <c r="A213" s="16"/>
      <c r="B213" s="16"/>
      <c r="C213" s="16"/>
      <c r="D213" s="16"/>
      <c r="E213" s="17"/>
      <c r="F213" s="17"/>
      <c r="G213" s="17"/>
      <c r="H213" s="16"/>
    </row>
    <row r="214" customFormat="false" ht="15" hidden="false" customHeight="false" outlineLevel="0" collapsed="false">
      <c r="A214" s="16"/>
      <c r="B214" s="16"/>
      <c r="C214" s="16"/>
      <c r="D214" s="16"/>
      <c r="E214" s="17"/>
      <c r="F214" s="17"/>
      <c r="G214" s="17"/>
      <c r="H214" s="16"/>
    </row>
    <row r="215" customFormat="false" ht="15" hidden="false" customHeight="false" outlineLevel="0" collapsed="false">
      <c r="A215" s="16"/>
      <c r="B215" s="16"/>
      <c r="C215" s="16"/>
      <c r="D215" s="16"/>
      <c r="E215" s="17"/>
      <c r="F215" s="17"/>
      <c r="G215" s="17"/>
      <c r="H215" s="16"/>
    </row>
    <row r="216" customFormat="false" ht="15" hidden="false" customHeight="false" outlineLevel="0" collapsed="false">
      <c r="A216" s="16"/>
      <c r="B216" s="16"/>
      <c r="C216" s="16"/>
      <c r="D216" s="16"/>
      <c r="E216" s="17"/>
      <c r="F216" s="17"/>
      <c r="G216" s="17"/>
      <c r="H216" s="16"/>
    </row>
    <row r="217" customFormat="false" ht="15" hidden="false" customHeight="false" outlineLevel="0" collapsed="false">
      <c r="A217" s="16"/>
      <c r="B217" s="16"/>
      <c r="C217" s="16"/>
      <c r="D217" s="16"/>
      <c r="E217" s="17"/>
      <c r="F217" s="17"/>
      <c r="G217" s="17"/>
      <c r="H217" s="16"/>
    </row>
    <row r="218" customFormat="false" ht="15" hidden="false" customHeight="false" outlineLevel="0" collapsed="false">
      <c r="A218" s="16"/>
      <c r="B218" s="16"/>
      <c r="C218" s="16"/>
      <c r="D218" s="16"/>
      <c r="E218" s="17"/>
      <c r="F218" s="17"/>
      <c r="G218" s="17"/>
      <c r="H218" s="16"/>
    </row>
    <row r="219" customFormat="false" ht="15" hidden="false" customHeight="false" outlineLevel="0" collapsed="false">
      <c r="A219" s="16"/>
      <c r="B219" s="16"/>
      <c r="C219" s="16"/>
      <c r="D219" s="16"/>
      <c r="E219" s="17"/>
      <c r="F219" s="17"/>
      <c r="G219" s="17"/>
      <c r="H219" s="16"/>
    </row>
    <row r="220" customFormat="false" ht="15" hidden="false" customHeight="false" outlineLevel="0" collapsed="false">
      <c r="A220" s="16"/>
      <c r="B220" s="16"/>
      <c r="C220" s="16"/>
      <c r="D220" s="16"/>
      <c r="E220" s="17"/>
      <c r="F220" s="17"/>
      <c r="G220" s="17"/>
      <c r="H220" s="16"/>
    </row>
    <row r="221" customFormat="false" ht="15" hidden="false" customHeight="false" outlineLevel="0" collapsed="false">
      <c r="A221" s="16"/>
      <c r="B221" s="16"/>
      <c r="C221" s="16"/>
      <c r="D221" s="16"/>
      <c r="E221" s="17"/>
      <c r="F221" s="17"/>
      <c r="G221" s="17"/>
      <c r="H221" s="16"/>
    </row>
    <row r="222" customFormat="false" ht="15" hidden="false" customHeight="false" outlineLevel="0" collapsed="false">
      <c r="A222" s="16"/>
      <c r="B222" s="16"/>
      <c r="C222" s="16"/>
      <c r="D222" s="16"/>
      <c r="E222" s="17"/>
      <c r="F222" s="17"/>
      <c r="G222" s="17"/>
      <c r="H222" s="16"/>
    </row>
    <row r="223" customFormat="false" ht="15" hidden="false" customHeight="false" outlineLevel="0" collapsed="false">
      <c r="A223" s="16"/>
      <c r="B223" s="16"/>
      <c r="C223" s="16"/>
      <c r="D223" s="16"/>
      <c r="E223" s="17"/>
      <c r="F223" s="17"/>
      <c r="G223" s="17"/>
      <c r="H223" s="16"/>
    </row>
    <row r="224" customFormat="false" ht="15" hidden="false" customHeight="false" outlineLevel="0" collapsed="false">
      <c r="A224" s="16"/>
      <c r="B224" s="16"/>
      <c r="C224" s="16"/>
      <c r="D224" s="16"/>
      <c r="E224" s="17"/>
      <c r="F224" s="17"/>
      <c r="G224" s="17"/>
      <c r="H224" s="16"/>
    </row>
    <row r="225" customFormat="false" ht="15" hidden="false" customHeight="false" outlineLevel="0" collapsed="false">
      <c r="A225" s="16"/>
      <c r="B225" s="16"/>
      <c r="C225" s="16"/>
      <c r="D225" s="16"/>
      <c r="E225" s="17"/>
      <c r="F225" s="17"/>
      <c r="G225" s="17"/>
      <c r="H225" s="16"/>
    </row>
    <row r="226" customFormat="false" ht="15" hidden="false" customHeight="false" outlineLevel="0" collapsed="false">
      <c r="A226" s="16"/>
      <c r="B226" s="16"/>
      <c r="C226" s="16"/>
      <c r="D226" s="16"/>
      <c r="E226" s="17"/>
      <c r="F226" s="17"/>
      <c r="G226" s="17"/>
      <c r="H226" s="16"/>
    </row>
    <row r="227" customFormat="false" ht="15" hidden="false" customHeight="false" outlineLevel="0" collapsed="false">
      <c r="A227" s="16"/>
      <c r="B227" s="16"/>
      <c r="C227" s="16"/>
      <c r="D227" s="16"/>
      <c r="E227" s="17"/>
      <c r="F227" s="17"/>
      <c r="G227" s="17"/>
      <c r="H227" s="16"/>
    </row>
    <row r="228" customFormat="false" ht="15" hidden="false" customHeight="false" outlineLevel="0" collapsed="false">
      <c r="A228" s="16"/>
      <c r="B228" s="16"/>
      <c r="C228" s="16"/>
      <c r="D228" s="16"/>
      <c r="E228" s="17"/>
      <c r="F228" s="17"/>
      <c r="G228" s="17"/>
      <c r="H228" s="16"/>
    </row>
    <row r="229" customFormat="false" ht="15" hidden="false" customHeight="false" outlineLevel="0" collapsed="false">
      <c r="A229" s="16"/>
      <c r="B229" s="16"/>
      <c r="C229" s="16"/>
      <c r="D229" s="16"/>
      <c r="E229" s="17"/>
      <c r="F229" s="17"/>
      <c r="G229" s="17"/>
      <c r="H229" s="16"/>
    </row>
    <row r="230" customFormat="false" ht="15" hidden="false" customHeight="false" outlineLevel="0" collapsed="false">
      <c r="A230" s="16"/>
      <c r="B230" s="16"/>
      <c r="C230" s="16"/>
      <c r="D230" s="16"/>
      <c r="E230" s="17"/>
      <c r="F230" s="17"/>
      <c r="G230" s="17"/>
      <c r="H230" s="16"/>
    </row>
    <row r="231" customFormat="false" ht="15" hidden="false" customHeight="false" outlineLevel="0" collapsed="false">
      <c r="A231" s="16"/>
      <c r="B231" s="16"/>
      <c r="C231" s="16"/>
      <c r="D231" s="16"/>
      <c r="E231" s="17"/>
      <c r="F231" s="17"/>
      <c r="G231" s="17"/>
      <c r="H231" s="16"/>
    </row>
    <row r="232" customFormat="false" ht="15" hidden="false" customHeight="false" outlineLevel="0" collapsed="false">
      <c r="A232" s="16"/>
      <c r="B232" s="16"/>
      <c r="C232" s="16"/>
      <c r="D232" s="16"/>
      <c r="E232" s="17"/>
      <c r="F232" s="17"/>
      <c r="G232" s="17"/>
      <c r="H232" s="16"/>
    </row>
    <row r="233" customFormat="false" ht="15" hidden="false" customHeight="false" outlineLevel="0" collapsed="false">
      <c r="A233" s="16"/>
      <c r="B233" s="16"/>
      <c r="C233" s="16"/>
      <c r="D233" s="16"/>
      <c r="E233" s="17"/>
      <c r="F233" s="17"/>
      <c r="G233" s="17"/>
      <c r="H233" s="16"/>
    </row>
    <row r="234" customFormat="false" ht="15" hidden="false" customHeight="false" outlineLevel="0" collapsed="false">
      <c r="A234" s="16"/>
      <c r="B234" s="16"/>
      <c r="C234" s="16"/>
      <c r="D234" s="16"/>
      <c r="E234" s="17"/>
      <c r="F234" s="17"/>
      <c r="G234" s="17"/>
      <c r="H234" s="16"/>
    </row>
    <row r="235" customFormat="false" ht="15" hidden="false" customHeight="false" outlineLevel="0" collapsed="false">
      <c r="A235" s="16"/>
      <c r="B235" s="16"/>
      <c r="C235" s="16"/>
      <c r="D235" s="16"/>
      <c r="E235" s="17"/>
      <c r="F235" s="17"/>
      <c r="G235" s="17"/>
      <c r="H235" s="16"/>
    </row>
    <row r="236" customFormat="false" ht="15" hidden="false" customHeight="false" outlineLevel="0" collapsed="false">
      <c r="A236" s="16"/>
      <c r="B236" s="16"/>
      <c r="C236" s="16"/>
      <c r="D236" s="16"/>
      <c r="E236" s="17"/>
      <c r="F236" s="17"/>
      <c r="G236" s="17"/>
      <c r="H236" s="16"/>
    </row>
    <row r="237" customFormat="false" ht="15" hidden="false" customHeight="false" outlineLevel="0" collapsed="false">
      <c r="A237" s="16"/>
      <c r="B237" s="16"/>
      <c r="C237" s="16"/>
      <c r="D237" s="16"/>
      <c r="E237" s="17"/>
      <c r="F237" s="17"/>
      <c r="G237" s="17"/>
      <c r="H237" s="16"/>
    </row>
    <row r="238" customFormat="false" ht="15" hidden="false" customHeight="false" outlineLevel="0" collapsed="false">
      <c r="A238" s="16"/>
      <c r="B238" s="16"/>
      <c r="C238" s="16"/>
      <c r="D238" s="16"/>
      <c r="E238" s="17"/>
      <c r="F238" s="17"/>
      <c r="G238" s="17"/>
      <c r="H238" s="16"/>
    </row>
    <row r="239" customFormat="false" ht="15" hidden="false" customHeight="false" outlineLevel="0" collapsed="false">
      <c r="A239" s="16"/>
      <c r="B239" s="16"/>
      <c r="C239" s="16"/>
      <c r="D239" s="16"/>
      <c r="E239" s="17"/>
      <c r="F239" s="17"/>
      <c r="G239" s="17"/>
      <c r="H239" s="16"/>
    </row>
    <row r="240" customFormat="false" ht="15" hidden="false" customHeight="false" outlineLevel="0" collapsed="false">
      <c r="A240" s="16"/>
      <c r="B240" s="16"/>
      <c r="C240" s="16"/>
      <c r="D240" s="16"/>
      <c r="E240" s="17"/>
      <c r="F240" s="17"/>
      <c r="G240" s="17"/>
      <c r="H240" s="16"/>
    </row>
    <row r="241" customFormat="false" ht="15" hidden="false" customHeight="false" outlineLevel="0" collapsed="false">
      <c r="A241" s="16"/>
      <c r="B241" s="16"/>
      <c r="C241" s="16"/>
      <c r="D241" s="16"/>
      <c r="E241" s="17"/>
      <c r="F241" s="17"/>
      <c r="G241" s="17"/>
      <c r="H241" s="16"/>
    </row>
    <row r="242" customFormat="false" ht="15" hidden="false" customHeight="false" outlineLevel="0" collapsed="false">
      <c r="A242" s="16"/>
      <c r="B242" s="16"/>
      <c r="C242" s="16"/>
      <c r="D242" s="16"/>
      <c r="E242" s="17"/>
      <c r="F242" s="17"/>
      <c r="G242" s="17"/>
      <c r="H242" s="16"/>
    </row>
    <row r="243" customFormat="false" ht="15" hidden="false" customHeight="false" outlineLevel="0" collapsed="false">
      <c r="A243" s="16"/>
      <c r="B243" s="16"/>
      <c r="C243" s="16"/>
      <c r="D243" s="16"/>
      <c r="E243" s="17"/>
      <c r="F243" s="17"/>
      <c r="G243" s="17"/>
      <c r="H243" s="16"/>
    </row>
    <row r="244" customFormat="false" ht="15" hidden="false" customHeight="false" outlineLevel="0" collapsed="false">
      <c r="A244" s="16"/>
      <c r="B244" s="16"/>
      <c r="C244" s="16"/>
      <c r="D244" s="16"/>
      <c r="E244" s="17"/>
      <c r="F244" s="17"/>
      <c r="G244" s="17"/>
      <c r="H244" s="16"/>
    </row>
    <row r="245" customFormat="false" ht="15" hidden="false" customHeight="false" outlineLevel="0" collapsed="false">
      <c r="A245" s="16"/>
      <c r="B245" s="16"/>
      <c r="C245" s="16"/>
      <c r="D245" s="16"/>
      <c r="E245" s="17"/>
      <c r="F245" s="17"/>
      <c r="G245" s="17"/>
      <c r="H245" s="16"/>
    </row>
    <row r="246" customFormat="false" ht="15" hidden="false" customHeight="false" outlineLevel="0" collapsed="false">
      <c r="A246" s="16"/>
      <c r="B246" s="16"/>
      <c r="C246" s="16"/>
      <c r="D246" s="16"/>
      <c r="E246" s="17"/>
      <c r="F246" s="17"/>
      <c r="G246" s="17"/>
      <c r="H246" s="16"/>
    </row>
    <row r="247" customFormat="false" ht="15" hidden="false" customHeight="false" outlineLevel="0" collapsed="false">
      <c r="A247" s="16"/>
      <c r="B247" s="16"/>
      <c r="C247" s="16"/>
      <c r="D247" s="16"/>
      <c r="E247" s="17"/>
      <c r="F247" s="17"/>
      <c r="G247" s="17"/>
      <c r="H247" s="16"/>
    </row>
    <row r="248" customFormat="false" ht="15" hidden="false" customHeight="false" outlineLevel="0" collapsed="false">
      <c r="A248" s="16"/>
      <c r="B248" s="16"/>
      <c r="C248" s="16"/>
      <c r="D248" s="16"/>
      <c r="E248" s="17"/>
      <c r="F248" s="17"/>
      <c r="G248" s="17"/>
      <c r="H248" s="16"/>
    </row>
    <row r="249" customFormat="false" ht="15" hidden="false" customHeight="false" outlineLevel="0" collapsed="false">
      <c r="A249" s="16"/>
      <c r="B249" s="16"/>
      <c r="C249" s="16"/>
      <c r="D249" s="16"/>
      <c r="E249" s="17"/>
      <c r="F249" s="17"/>
      <c r="G249" s="17"/>
      <c r="H249" s="16"/>
    </row>
    <row r="250" customFormat="false" ht="15" hidden="false" customHeight="false" outlineLevel="0" collapsed="false">
      <c r="A250" s="16"/>
      <c r="B250" s="16"/>
      <c r="C250" s="16"/>
      <c r="D250" s="16"/>
      <c r="E250" s="17"/>
      <c r="F250" s="17"/>
      <c r="G250" s="17"/>
      <c r="H250" s="16"/>
    </row>
    <row r="251" customFormat="false" ht="15" hidden="false" customHeight="false" outlineLevel="0" collapsed="false">
      <c r="A251" s="16"/>
      <c r="B251" s="16"/>
      <c r="C251" s="16"/>
      <c r="D251" s="16"/>
      <c r="E251" s="17"/>
      <c r="F251" s="17"/>
      <c r="G251" s="17"/>
      <c r="H251" s="16"/>
    </row>
    <row r="252" customFormat="false" ht="15" hidden="false" customHeight="false" outlineLevel="0" collapsed="false">
      <c r="A252" s="16"/>
      <c r="B252" s="16"/>
      <c r="C252" s="16"/>
      <c r="D252" s="16"/>
      <c r="E252" s="17"/>
      <c r="F252" s="17"/>
      <c r="G252" s="17"/>
      <c r="H252" s="16"/>
    </row>
    <row r="253" customFormat="false" ht="15" hidden="false" customHeight="false" outlineLevel="0" collapsed="false">
      <c r="A253" s="16"/>
      <c r="B253" s="16"/>
      <c r="C253" s="16"/>
      <c r="D253" s="16"/>
      <c r="E253" s="17"/>
      <c r="F253" s="17"/>
      <c r="G253" s="17"/>
      <c r="H253" s="16"/>
    </row>
    <row r="254" customFormat="false" ht="15" hidden="false" customHeight="false" outlineLevel="0" collapsed="false">
      <c r="A254" s="16"/>
      <c r="B254" s="16"/>
      <c r="C254" s="16"/>
      <c r="D254" s="16"/>
      <c r="E254" s="17"/>
      <c r="F254" s="17"/>
      <c r="G254" s="17"/>
      <c r="H254" s="16"/>
    </row>
    <row r="255" customFormat="false" ht="15" hidden="false" customHeight="false" outlineLevel="0" collapsed="false">
      <c r="A255" s="16"/>
      <c r="B255" s="16"/>
      <c r="C255" s="16"/>
      <c r="D255" s="16"/>
      <c r="E255" s="17"/>
      <c r="F255" s="17"/>
      <c r="G255" s="17"/>
      <c r="H255" s="16"/>
    </row>
    <row r="256" customFormat="false" ht="15" hidden="false" customHeight="false" outlineLevel="0" collapsed="false">
      <c r="A256" s="16"/>
      <c r="B256" s="16"/>
      <c r="C256" s="16"/>
      <c r="D256" s="16"/>
      <c r="E256" s="17"/>
      <c r="F256" s="17"/>
      <c r="G256" s="17"/>
      <c r="H256" s="16"/>
    </row>
    <row r="257" customFormat="false" ht="15" hidden="false" customHeight="false" outlineLevel="0" collapsed="false">
      <c r="A257" s="16"/>
      <c r="B257" s="16"/>
      <c r="C257" s="16"/>
      <c r="D257" s="16"/>
      <c r="E257" s="17"/>
      <c r="F257" s="17"/>
      <c r="G257" s="17"/>
      <c r="H257" s="16"/>
    </row>
    <row r="258" customFormat="false" ht="15" hidden="false" customHeight="false" outlineLevel="0" collapsed="false">
      <c r="A258" s="16"/>
      <c r="B258" s="16"/>
      <c r="C258" s="16"/>
      <c r="D258" s="16"/>
      <c r="E258" s="17"/>
      <c r="F258" s="17"/>
      <c r="G258" s="17"/>
      <c r="H258" s="16"/>
    </row>
    <row r="259" customFormat="false" ht="15" hidden="false" customHeight="false" outlineLevel="0" collapsed="false">
      <c r="A259" s="16"/>
      <c r="B259" s="16"/>
      <c r="C259" s="16"/>
      <c r="D259" s="16"/>
      <c r="E259" s="17"/>
      <c r="F259" s="17"/>
      <c r="G259" s="17"/>
      <c r="H259" s="16"/>
    </row>
    <row r="260" customFormat="false" ht="15" hidden="false" customHeight="false" outlineLevel="0" collapsed="false">
      <c r="A260" s="16"/>
      <c r="B260" s="16"/>
      <c r="C260" s="16"/>
      <c r="D260" s="16"/>
      <c r="E260" s="17"/>
      <c r="F260" s="17"/>
      <c r="G260" s="17"/>
      <c r="H260" s="16"/>
    </row>
    <row r="261" customFormat="false" ht="15" hidden="false" customHeight="false" outlineLevel="0" collapsed="false">
      <c r="A261" s="16"/>
      <c r="B261" s="16"/>
      <c r="C261" s="16"/>
      <c r="D261" s="16"/>
      <c r="E261" s="17"/>
      <c r="F261" s="17"/>
      <c r="G261" s="17"/>
      <c r="H261" s="16"/>
    </row>
    <row r="262" customFormat="false" ht="15" hidden="false" customHeight="false" outlineLevel="0" collapsed="false">
      <c r="A262" s="16"/>
      <c r="B262" s="16"/>
      <c r="C262" s="16"/>
      <c r="D262" s="16"/>
      <c r="E262" s="17"/>
      <c r="F262" s="17"/>
      <c r="G262" s="17"/>
      <c r="H262" s="16"/>
    </row>
    <row r="263" customFormat="false" ht="15" hidden="false" customHeight="false" outlineLevel="0" collapsed="false">
      <c r="A263" s="16"/>
      <c r="B263" s="16"/>
      <c r="C263" s="16"/>
      <c r="D263" s="16"/>
      <c r="E263" s="17"/>
      <c r="F263" s="17"/>
      <c r="G263" s="17"/>
      <c r="H263" s="16"/>
    </row>
    <row r="264" customFormat="false" ht="15" hidden="false" customHeight="false" outlineLevel="0" collapsed="false">
      <c r="A264" s="16"/>
      <c r="B264" s="16"/>
      <c r="C264" s="16"/>
      <c r="D264" s="16"/>
      <c r="E264" s="17"/>
      <c r="F264" s="17"/>
      <c r="G264" s="17"/>
      <c r="H264" s="16"/>
    </row>
    <row r="265" customFormat="false" ht="15" hidden="false" customHeight="false" outlineLevel="0" collapsed="false">
      <c r="A265" s="16"/>
      <c r="B265" s="16"/>
      <c r="C265" s="16"/>
      <c r="D265" s="16"/>
      <c r="E265" s="17"/>
      <c r="F265" s="17"/>
      <c r="G265" s="17"/>
      <c r="H265" s="16"/>
    </row>
    <row r="266" customFormat="false" ht="15" hidden="false" customHeight="false" outlineLevel="0" collapsed="false">
      <c r="A266" s="16"/>
      <c r="B266" s="16"/>
      <c r="C266" s="16"/>
      <c r="D266" s="16"/>
      <c r="E266" s="17"/>
      <c r="F266" s="17"/>
      <c r="G266" s="17"/>
      <c r="H266" s="16"/>
    </row>
    <row r="267" customFormat="false" ht="15" hidden="false" customHeight="false" outlineLevel="0" collapsed="false">
      <c r="A267" s="16"/>
      <c r="B267" s="16"/>
      <c r="C267" s="16"/>
      <c r="D267" s="16"/>
      <c r="E267" s="17"/>
      <c r="F267" s="17"/>
      <c r="G267" s="17"/>
      <c r="H267" s="16"/>
    </row>
    <row r="268" customFormat="false" ht="15" hidden="false" customHeight="false" outlineLevel="0" collapsed="false">
      <c r="A268" s="16"/>
      <c r="B268" s="16"/>
      <c r="C268" s="16"/>
      <c r="D268" s="16"/>
      <c r="E268" s="17"/>
      <c r="F268" s="17"/>
      <c r="G268" s="17"/>
      <c r="H268" s="16"/>
    </row>
    <row r="269" customFormat="false" ht="15" hidden="false" customHeight="false" outlineLevel="0" collapsed="false">
      <c r="A269" s="16"/>
      <c r="B269" s="16"/>
      <c r="C269" s="16"/>
      <c r="D269" s="16"/>
      <c r="E269" s="17"/>
      <c r="F269" s="17"/>
      <c r="G269" s="17"/>
      <c r="H269" s="16"/>
    </row>
    <row r="270" customFormat="false" ht="15" hidden="false" customHeight="false" outlineLevel="0" collapsed="false">
      <c r="A270" s="16"/>
      <c r="B270" s="16"/>
      <c r="C270" s="16"/>
      <c r="D270" s="16"/>
      <c r="E270" s="17"/>
      <c r="F270" s="17"/>
      <c r="G270" s="17"/>
      <c r="H270" s="16"/>
    </row>
    <row r="271" customFormat="false" ht="15" hidden="false" customHeight="false" outlineLevel="0" collapsed="false">
      <c r="A271" s="16"/>
      <c r="B271" s="16"/>
      <c r="C271" s="16"/>
      <c r="D271" s="16"/>
      <c r="E271" s="17"/>
      <c r="F271" s="17"/>
      <c r="G271" s="17"/>
      <c r="H271" s="16"/>
    </row>
    <row r="272" customFormat="false" ht="15" hidden="false" customHeight="false" outlineLevel="0" collapsed="false">
      <c r="A272" s="16"/>
      <c r="B272" s="16"/>
      <c r="C272" s="16"/>
      <c r="D272" s="16"/>
      <c r="E272" s="17"/>
      <c r="F272" s="17"/>
      <c r="G272" s="17"/>
      <c r="H272" s="16"/>
    </row>
    <row r="273" customFormat="false" ht="15" hidden="false" customHeight="false" outlineLevel="0" collapsed="false">
      <c r="A273" s="16"/>
      <c r="B273" s="16"/>
      <c r="C273" s="16"/>
      <c r="D273" s="16"/>
      <c r="E273" s="17"/>
      <c r="F273" s="17"/>
      <c r="G273" s="17"/>
      <c r="H273" s="16"/>
    </row>
    <row r="274" customFormat="false" ht="15" hidden="false" customHeight="false" outlineLevel="0" collapsed="false">
      <c r="A274" s="16"/>
      <c r="B274" s="16"/>
      <c r="C274" s="16"/>
      <c r="D274" s="16"/>
      <c r="E274" s="17"/>
      <c r="F274" s="17"/>
      <c r="G274" s="17"/>
      <c r="H274" s="16"/>
    </row>
    <row r="275" customFormat="false" ht="15" hidden="false" customHeight="false" outlineLevel="0" collapsed="false">
      <c r="A275" s="16"/>
      <c r="B275" s="16"/>
      <c r="C275" s="16"/>
      <c r="D275" s="16"/>
      <c r="E275" s="17"/>
      <c r="F275" s="17"/>
      <c r="G275" s="17"/>
      <c r="H275" s="16"/>
    </row>
    <row r="276" customFormat="false" ht="15" hidden="false" customHeight="false" outlineLevel="0" collapsed="false">
      <c r="A276" s="16"/>
      <c r="B276" s="16"/>
      <c r="C276" s="16"/>
      <c r="D276" s="16"/>
      <c r="E276" s="17"/>
      <c r="F276" s="17"/>
      <c r="G276" s="17"/>
      <c r="H276" s="16"/>
    </row>
    <row r="277" customFormat="false" ht="15" hidden="false" customHeight="false" outlineLevel="0" collapsed="false">
      <c r="A277" s="16"/>
      <c r="B277" s="16"/>
      <c r="C277" s="16"/>
      <c r="D277" s="16"/>
      <c r="E277" s="17"/>
      <c r="F277" s="17"/>
      <c r="G277" s="17"/>
      <c r="H277" s="16"/>
    </row>
    <row r="278" customFormat="false" ht="15" hidden="false" customHeight="false" outlineLevel="0" collapsed="false">
      <c r="A278" s="16"/>
      <c r="B278" s="16"/>
      <c r="C278" s="16"/>
      <c r="D278" s="16"/>
      <c r="E278" s="17"/>
      <c r="F278" s="17"/>
      <c r="G278" s="17"/>
      <c r="H278" s="16"/>
    </row>
    <row r="279" customFormat="false" ht="15" hidden="false" customHeight="false" outlineLevel="0" collapsed="false">
      <c r="A279" s="16"/>
      <c r="B279" s="16"/>
      <c r="C279" s="16"/>
      <c r="D279" s="16"/>
      <c r="E279" s="17"/>
      <c r="F279" s="17"/>
      <c r="G279" s="17"/>
      <c r="H279" s="16"/>
    </row>
    <row r="280" customFormat="false" ht="15" hidden="false" customHeight="false" outlineLevel="0" collapsed="false">
      <c r="A280" s="16"/>
      <c r="B280" s="16"/>
      <c r="C280" s="16"/>
      <c r="D280" s="16"/>
      <c r="E280" s="17"/>
      <c r="F280" s="17"/>
      <c r="G280" s="17"/>
      <c r="H280" s="16"/>
    </row>
    <row r="281" customFormat="false" ht="15" hidden="false" customHeight="false" outlineLevel="0" collapsed="false">
      <c r="A281" s="16"/>
      <c r="B281" s="16"/>
      <c r="C281" s="16"/>
      <c r="D281" s="16"/>
      <c r="E281" s="17"/>
      <c r="F281" s="17"/>
      <c r="G281" s="17"/>
      <c r="H281" s="16"/>
    </row>
    <row r="282" customFormat="false" ht="15" hidden="false" customHeight="false" outlineLevel="0" collapsed="false">
      <c r="A282" s="16"/>
      <c r="B282" s="16"/>
      <c r="C282" s="16"/>
      <c r="D282" s="16"/>
      <c r="E282" s="17"/>
      <c r="F282" s="17"/>
      <c r="G282" s="17"/>
      <c r="H282" s="16"/>
    </row>
    <row r="283" customFormat="false" ht="15" hidden="false" customHeight="false" outlineLevel="0" collapsed="false">
      <c r="A283" s="16"/>
      <c r="B283" s="16"/>
      <c r="C283" s="16"/>
      <c r="D283" s="16"/>
      <c r="E283" s="17"/>
      <c r="F283" s="17"/>
      <c r="G283" s="17"/>
      <c r="H283" s="16"/>
    </row>
    <row r="284" customFormat="false" ht="15" hidden="false" customHeight="false" outlineLevel="0" collapsed="false">
      <c r="A284" s="16"/>
      <c r="B284" s="16"/>
      <c r="C284" s="16"/>
      <c r="D284" s="16"/>
      <c r="E284" s="17"/>
      <c r="F284" s="17"/>
      <c r="G284" s="17"/>
      <c r="H284" s="16"/>
    </row>
    <row r="285" customFormat="false" ht="15" hidden="false" customHeight="false" outlineLevel="0" collapsed="false">
      <c r="A285" s="16"/>
      <c r="B285" s="16"/>
      <c r="C285" s="16"/>
      <c r="D285" s="16"/>
      <c r="E285" s="17"/>
      <c r="F285" s="17"/>
      <c r="G285" s="17"/>
      <c r="H285" s="16"/>
    </row>
    <row r="286" customFormat="false" ht="15" hidden="false" customHeight="false" outlineLevel="0" collapsed="false">
      <c r="A286" s="16"/>
      <c r="B286" s="16"/>
      <c r="C286" s="16"/>
      <c r="D286" s="16"/>
      <c r="E286" s="17"/>
      <c r="F286" s="17"/>
      <c r="G286" s="17"/>
      <c r="H286" s="16"/>
    </row>
    <row r="287" customFormat="false" ht="15" hidden="false" customHeight="false" outlineLevel="0" collapsed="false">
      <c r="A287" s="16"/>
      <c r="B287" s="16"/>
      <c r="C287" s="16"/>
      <c r="D287" s="16"/>
      <c r="E287" s="17"/>
      <c r="F287" s="17"/>
      <c r="G287" s="17"/>
      <c r="H287" s="16"/>
    </row>
    <row r="288" customFormat="false" ht="15" hidden="false" customHeight="false" outlineLevel="0" collapsed="false">
      <c r="A288" s="16"/>
      <c r="B288" s="16"/>
      <c r="C288" s="16"/>
      <c r="D288" s="16"/>
      <c r="E288" s="17"/>
      <c r="F288" s="17"/>
      <c r="G288" s="17"/>
      <c r="H288" s="16"/>
    </row>
    <row r="289" customFormat="false" ht="15" hidden="false" customHeight="false" outlineLevel="0" collapsed="false">
      <c r="A289" s="16"/>
      <c r="B289" s="16"/>
      <c r="C289" s="16"/>
      <c r="D289" s="16"/>
      <c r="E289" s="17"/>
      <c r="F289" s="17"/>
      <c r="G289" s="17"/>
      <c r="H289" s="16"/>
    </row>
    <row r="290" customFormat="false" ht="15" hidden="false" customHeight="false" outlineLevel="0" collapsed="false">
      <c r="A290" s="16"/>
      <c r="B290" s="16"/>
      <c r="C290" s="16"/>
      <c r="D290" s="16"/>
      <c r="E290" s="17"/>
      <c r="F290" s="17"/>
      <c r="G290" s="17"/>
      <c r="H290" s="16"/>
    </row>
    <row r="291" customFormat="false" ht="15" hidden="false" customHeight="false" outlineLevel="0" collapsed="false">
      <c r="A291" s="16"/>
      <c r="B291" s="16"/>
      <c r="C291" s="16"/>
      <c r="D291" s="16"/>
      <c r="E291" s="17"/>
      <c r="F291" s="17"/>
      <c r="G291" s="17"/>
      <c r="H291" s="16"/>
    </row>
    <row r="292" customFormat="false" ht="15" hidden="false" customHeight="false" outlineLevel="0" collapsed="false">
      <c r="A292" s="16"/>
      <c r="B292" s="16"/>
      <c r="C292" s="16"/>
      <c r="D292" s="16"/>
      <c r="E292" s="17"/>
      <c r="F292" s="17"/>
      <c r="G292" s="17"/>
      <c r="H292" s="16"/>
    </row>
    <row r="293" customFormat="false" ht="15" hidden="false" customHeight="false" outlineLevel="0" collapsed="false">
      <c r="A293" s="16"/>
      <c r="B293" s="16"/>
      <c r="C293" s="16"/>
      <c r="D293" s="16"/>
      <c r="E293" s="17"/>
      <c r="F293" s="17"/>
      <c r="G293" s="17"/>
      <c r="H293" s="16"/>
    </row>
    <row r="294" customFormat="false" ht="15" hidden="false" customHeight="false" outlineLevel="0" collapsed="false">
      <c r="A294" s="16"/>
      <c r="B294" s="16"/>
      <c r="C294" s="16"/>
      <c r="D294" s="16"/>
      <c r="E294" s="17"/>
      <c r="F294" s="17"/>
      <c r="G294" s="17"/>
      <c r="H294" s="16"/>
    </row>
    <row r="295" customFormat="false" ht="15" hidden="false" customHeight="false" outlineLevel="0" collapsed="false">
      <c r="A295" s="16"/>
      <c r="B295" s="16"/>
      <c r="C295" s="16"/>
      <c r="D295" s="16"/>
      <c r="E295" s="17"/>
      <c r="F295" s="17"/>
      <c r="G295" s="17"/>
      <c r="H295" s="16"/>
    </row>
    <row r="296" customFormat="false" ht="15" hidden="false" customHeight="false" outlineLevel="0" collapsed="false">
      <c r="A296" s="16"/>
      <c r="B296" s="16"/>
      <c r="C296" s="16"/>
      <c r="D296" s="16"/>
      <c r="E296" s="17"/>
      <c r="F296" s="17"/>
      <c r="G296" s="17"/>
      <c r="H296" s="16"/>
    </row>
    <row r="297" customFormat="false" ht="15" hidden="false" customHeight="false" outlineLevel="0" collapsed="false">
      <c r="A297" s="16"/>
      <c r="B297" s="16"/>
      <c r="C297" s="16"/>
      <c r="D297" s="16"/>
      <c r="E297" s="17"/>
      <c r="F297" s="17"/>
      <c r="G297" s="17"/>
      <c r="H297" s="16"/>
    </row>
    <row r="298" customFormat="false" ht="15" hidden="false" customHeight="false" outlineLevel="0" collapsed="false">
      <c r="A298" s="16"/>
      <c r="B298" s="16"/>
      <c r="C298" s="16"/>
      <c r="D298" s="16"/>
      <c r="E298" s="17"/>
      <c r="F298" s="17"/>
      <c r="G298" s="17"/>
      <c r="H298" s="16"/>
    </row>
    <row r="299" customFormat="false" ht="15" hidden="false" customHeight="false" outlineLevel="0" collapsed="false">
      <c r="A299" s="16"/>
      <c r="B299" s="16"/>
      <c r="C299" s="16"/>
      <c r="D299" s="16"/>
      <c r="E299" s="17"/>
      <c r="F299" s="17"/>
      <c r="G299" s="17"/>
      <c r="H299" s="16"/>
    </row>
    <row r="300" customFormat="false" ht="15" hidden="false" customHeight="false" outlineLevel="0" collapsed="false">
      <c r="A300" s="16"/>
      <c r="B300" s="16"/>
      <c r="C300" s="16"/>
      <c r="D300" s="16"/>
      <c r="E300" s="17"/>
      <c r="F300" s="17"/>
      <c r="G300" s="17"/>
      <c r="H300" s="16"/>
    </row>
    <row r="301" customFormat="false" ht="15" hidden="false" customHeight="false" outlineLevel="0" collapsed="false">
      <c r="A301" s="16"/>
      <c r="B301" s="16"/>
      <c r="C301" s="16"/>
      <c r="D301" s="16"/>
      <c r="E301" s="17"/>
      <c r="F301" s="17"/>
      <c r="G301" s="17"/>
      <c r="H301" s="16"/>
    </row>
  </sheetData>
  <autoFilter ref="A1:H301"/>
  <dataValidations count="2">
    <dataValidation allowBlank="true" error="Please choose an item from the dropdown list." errorStyle="stop" errorTitle="Invalid entry" operator="between" showDropDown="false" showErrorMessage="false" showInputMessage="false" sqref="A2:A301" type="list">
      <formula1>'Job List'!$A$2:$A$16</formula1>
      <formula2>0</formula2>
    </dataValidation>
    <dataValidation allowBlank="true" error="Please choose an item from the dropdown list." errorStyle="stop" errorTitle="Invalid entry" operator="between" showDropDown="false" showErrorMessage="false" showInputMessage="false" sqref="D2:D301" type="list">
      <formula1>"Not Started,Cutting,Fitting,Welding,Painting,Complete,Shipped"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2026-09-06T05:03:07Z</dcterms:created>
  <dc:creator>openpyxl</dc:creator>
  <dc:description/>
  <dc:language>en-US</dc:language>
  <cp:lastModifiedBy/>
  <dcterms:modified xsi:type="dcterms:W3CDTF">2026-09-06T05:03:08Z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