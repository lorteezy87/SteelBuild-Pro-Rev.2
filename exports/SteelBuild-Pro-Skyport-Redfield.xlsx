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Command Center" sheetId="2" state="visible" r:id="rId2"/>
    <sheet name="Detailing Hub" sheetId="3" state="visible" r:id="rId3"/>
    <sheet name="Drawing Sets" sheetId="4" state="visible" r:id="rId4"/>
    <sheet name="Drawings" sheetId="5" state="visible" r:id="rId5"/>
    <sheet name="Submittals" sheetId="6" state="visible" r:id="rId6"/>
    <sheet name="RFIs" sheetId="7" state="visible" r:id="rId7"/>
    <sheet name="Schedule" sheetId="8" state="visible" r:id="rId8"/>
    <sheet name="Work Packages" sheetId="9" state="visible" r:id="rId9"/>
    <sheet name="Deliveries" sheetId="10" state="visible" r:id="rId10"/>
    <sheet name="Fabrication" sheetId="11" state="visible" r:id="rId11"/>
    <sheet name="Change Orders" sheetId="12" state="visible" r:id="rId12"/>
    <sheet name="Financials" sheetId="13" state="visible" r:id="rId13"/>
    <sheet name="Vendors" sheetId="14" state="visible" r:id="rId14"/>
    <sheet name="About" sheetId="15" state="visible" r:id="rId15"/>
  </sheets>
  <definedNames>
    <definedName name="_xlnm._FilterDatabase" localSheetId="2" hidden="1">'Detailing Hub'!$B$23:$G$27</definedName>
    <definedName name="_xlnm._FilterDatabase" localSheetId="3" hidden="1">'Drawing Sets'!$B$6:$J$19</definedName>
    <definedName name="_xlnm._FilterDatabase" localSheetId="4" hidden="1">'Drawings'!$B$6:$K$168</definedName>
    <definedName name="_xlnm._FilterDatabase" localSheetId="5" hidden="1">'Submittals'!$B$9:$M$22</definedName>
    <definedName name="_xlnm._FilterDatabase" localSheetId="6" hidden="1">'RFIs'!$B$6:$N$65</definedName>
    <definedName name="_xlnm._FilterDatabase" localSheetId="7" hidden="1">'Schedule'!$B$6:$L$78</definedName>
    <definedName name="_xlnm._FilterDatabase" localSheetId="8" hidden="1">'Work Packages'!$B$6:$K$21</definedName>
    <definedName name="_xlnm._FilterDatabase" localSheetId="9" hidden="1">'Deliveries'!$B$6:$K$19</definedName>
    <definedName name="_xlnm._FilterDatabase" localSheetId="10" hidden="1">'Fabrication'!$B$11:$F$24</definedName>
    <definedName name="_xlnm._FilterDatabase" localSheetId="11" hidden="1">'Change Orders'!$B$6:$I$8</definedName>
    <definedName name="_xlnm._FilterDatabase" localSheetId="13" hidden="1">'Vendors'!$B$6:$K$18</definedName>
  </definedNames>
  <calcPr calcId="124519" fullCalcOnLoad="1"/>
</workbook>
</file>

<file path=xl/styles.xml><?xml version="1.0" encoding="utf-8"?>
<styleSheet xmlns="http://schemas.openxmlformats.org/spreadsheetml/2006/main">
  <numFmts count="3">
    <numFmt numFmtId="164" formatCode="yyyy-mm-dd"/>
    <numFmt numFmtId="165" formatCode="0&quot;%&quot;"/>
    <numFmt numFmtId="166" formatCode="$#,##0;($#,##0)"/>
  </numFmts>
  <fonts count="43">
    <font>
      <name val="Calibri"/>
      <family val="2"/>
      <color theme="1"/>
      <sz val="11"/>
      <scheme val="minor"/>
    </font>
    <font>
      <name val="Arial"/>
      <b val="1"/>
      <color rgb="00FFFFFF"/>
      <sz val="26"/>
    </font>
    <font>
      <name val="Arial"/>
      <color rgb="0038BDF8"/>
      <sz val="11"/>
    </font>
    <font>
      <name val="Arial"/>
      <b val="1"/>
      <color rgb="00E6EDF3"/>
      <sz val="14"/>
    </font>
    <font>
      <name val="Arial"/>
      <b val="1"/>
      <color rgb="008B949E"/>
      <sz val="8"/>
    </font>
    <font>
      <name val="Arial"/>
      <b val="1"/>
      <color rgb="00E6EDF3"/>
      <sz val="10"/>
    </font>
    <font>
      <name val="Arial"/>
      <b val="1"/>
      <color rgb="0038BDF8"/>
      <sz val="11"/>
    </font>
    <font>
      <name val="Arial"/>
      <b val="1"/>
      <color rgb="00E6EDF3"/>
      <sz val="16"/>
    </font>
    <font>
      <name val="Arial"/>
      <color rgb="0038BDF8"/>
      <sz val="8"/>
    </font>
    <font>
      <name val="Arial"/>
      <b val="1"/>
      <color rgb="0038BDF8"/>
      <sz val="10"/>
    </font>
    <font>
      <name val="Arial"/>
      <color rgb="008B949E"/>
      <sz val="9"/>
    </font>
    <font>
      <name val="Arial"/>
      <color rgb="0064748B"/>
      <sz val="8"/>
    </font>
    <font>
      <name val="Arial"/>
      <color rgb="00E6EDF3"/>
      <sz val="10"/>
    </font>
    <font>
      <name val="Arial"/>
      <b val="1"/>
      <color rgb="00FFFFFF"/>
      <sz val="20"/>
    </font>
    <font>
      <name val="Arial"/>
      <color rgb="0038BDF8"/>
      <sz val="10"/>
    </font>
    <font>
      <name val="Arial"/>
      <b val="1"/>
      <color rgb="00E6EDF3"/>
      <sz val="9"/>
    </font>
    <font>
      <name val="Arial"/>
      <b val="1"/>
      <color rgb="00F59E0B"/>
      <sz val="10"/>
    </font>
    <font>
      <name val="Arial"/>
      <b val="1"/>
      <color rgb="002DD4BF"/>
      <sz val="10"/>
    </font>
    <font>
      <name val="Arial"/>
      <b val="1"/>
      <color rgb="0022C55E"/>
      <sz val="10"/>
    </font>
    <font>
      <name val="Arial"/>
      <b val="1"/>
      <color rgb="00F59E0B"/>
      <sz val="11"/>
    </font>
    <font>
      <name val="Arial"/>
      <b val="1"/>
      <color rgb="00C9D1D9"/>
      <sz val="9"/>
    </font>
    <font>
      <name val="Arial"/>
      <b val="1"/>
      <color rgb="002A1A00"/>
      <sz val="8"/>
    </font>
    <font>
      <name val="Arial"/>
      <color rgb="00C9D1D9"/>
      <sz val="8"/>
    </font>
    <font>
      <name val="Arial"/>
      <b val="1"/>
      <color rgb="0006122E"/>
      <sz val="8"/>
    </font>
    <font>
      <name val="Arial"/>
      <b val="1"/>
      <color rgb="002A0606"/>
      <sz val="8"/>
    </font>
    <font>
      <name val="Arial"/>
      <b val="1"/>
      <color rgb="0038BDF8"/>
      <sz val="9"/>
    </font>
    <font>
      <name val="Arial"/>
      <color rgb="00C9D1D9"/>
      <sz val="9"/>
    </font>
    <font>
      <name val="Arial"/>
      <b val="1"/>
      <color rgb="0006210F"/>
      <sz val="9"/>
    </font>
    <font>
      <name val="Arial"/>
      <b val="1"/>
      <color rgb="0006251F"/>
      <sz val="9"/>
    </font>
    <font>
      <name val="Arial"/>
      <b val="1"/>
      <color rgb="000B0F14"/>
      <sz val="9"/>
    </font>
    <font>
      <name val="Arial"/>
      <b val="1"/>
      <color rgb="002A1A00"/>
      <sz val="9"/>
    </font>
    <font>
      <name val="Arial"/>
      <b val="1"/>
      <color rgb="002A0606"/>
      <sz val="9"/>
    </font>
    <font>
      <name val="Arial"/>
      <b val="1"/>
      <color rgb="0006122E"/>
      <sz val="9"/>
    </font>
    <font>
      <name val="Arial"/>
      <color rgb="008B949E"/>
      <sz val="7"/>
    </font>
    <font>
      <name val="Arial"/>
      <color rgb="008B949E"/>
      <sz val="8"/>
    </font>
    <font>
      <name val="Arial"/>
      <b val="1"/>
      <color rgb="002A1400"/>
      <sz val="9"/>
    </font>
    <font>
      <name val="Arial"/>
      <b val="1"/>
      <color rgb="00F59E0B"/>
      <sz val="12"/>
    </font>
    <font>
      <name val="Arial"/>
      <b val="1"/>
      <color rgb="00A78BFA"/>
      <sz val="18"/>
    </font>
    <font>
      <name val="Arial"/>
      <b val="1"/>
      <color rgb="0038BDF8"/>
      <sz val="18"/>
    </font>
    <font>
      <name val="Arial"/>
      <b val="1"/>
      <color rgb="0022C55E"/>
      <sz val="18"/>
    </font>
    <font>
      <name val="Arial"/>
      <b val="1"/>
      <color rgb="0022C55E"/>
      <sz val="11"/>
    </font>
    <font>
      <name val="Arial"/>
      <b val="1"/>
      <color rgb="0064748B"/>
      <sz val="11"/>
    </font>
    <font>
      <name val="Arial"/>
      <b val="1"/>
      <color rgb="003B82F6"/>
      <sz val="11"/>
    </font>
  </fonts>
  <fills count="15">
    <fill>
      <patternFill/>
    </fill>
    <fill>
      <patternFill patternType="gray125"/>
    </fill>
    <fill>
      <patternFill patternType="solid">
        <fgColor rgb="000D1117"/>
      </patternFill>
    </fill>
    <fill>
      <patternFill patternType="solid">
        <fgColor rgb="001F2937"/>
      </patternFill>
    </fill>
    <fill>
      <patternFill patternType="solid">
        <fgColor rgb="003B82F6"/>
      </patternFill>
    </fill>
    <fill>
      <patternFill patternType="solid">
        <fgColor rgb="0011161C"/>
      </patternFill>
    </fill>
    <fill>
      <patternFill patternType="solid">
        <fgColor rgb="00161B22"/>
      </patternFill>
    </fill>
    <fill>
      <patternFill patternType="solid">
        <fgColor rgb="0022C55E"/>
      </patternFill>
    </fill>
    <fill>
      <patternFill patternType="solid">
        <fgColor rgb="002DD4BF"/>
      </patternFill>
    </fill>
    <fill>
      <patternFill patternType="solid">
        <fgColor rgb="0038BDF8"/>
      </patternFill>
    </fill>
    <fill>
      <patternFill patternType="solid">
        <fgColor rgb="00F59E0B"/>
      </patternFill>
    </fill>
    <fill>
      <patternFill patternType="solid">
        <fgColor rgb="00A78BFA"/>
      </patternFill>
    </fill>
    <fill>
      <patternFill patternType="solid">
        <fgColor rgb="00EF4444"/>
      </patternFill>
    </fill>
    <fill>
      <patternFill patternType="solid">
        <fgColor rgb="00FB923C"/>
      </patternFill>
    </fill>
    <fill>
      <patternFill patternType="solid">
        <fgColor rgb="0064748B"/>
      </patternFill>
    </fill>
  </fills>
  <borders count="3">
    <border>
      <left/>
      <right/>
      <top/>
      <bottom/>
      <diagonal/>
    </border>
    <border>
      <left style="thin">
        <color rgb="0030363D"/>
      </left>
      <right style="thin">
        <color rgb="0030363D"/>
      </right>
      <top style="thin">
        <color rgb="0030363D"/>
      </top>
      <bottom style="medium">
        <color rgb="003B82F6"/>
      </bottom>
    </border>
    <border>
      <left style="thin">
        <color rgb="0030363D"/>
      </left>
      <right style="thin">
        <color rgb="0030363D"/>
      </right>
      <top style="thin">
        <color rgb="0030363D"/>
      </top>
      <bottom style="thin">
        <color rgb="0030363D"/>
      </bottom>
    </border>
  </borders>
  <cellStyleXfs count="1">
    <xf numFmtId="0" fontId="0" fillId="0" borderId="0"/>
  </cellStyleXfs>
  <cellXfs count="93">
    <xf numFmtId="0" fontId="0" fillId="0" borderId="0" pivotButton="0" quotePrefix="0" xfId="0"/>
    <xf numFmtId="0" fontId="0" fillId="2" borderId="0" pivotButton="0" quotePrefix="0" xfId="0"/>
    <xf numFmtId="0" fontId="12" fillId="2" borderId="0" pivotButton="0" quotePrefix="0" xfId="0"/>
    <xf numFmtId="0" fontId="1" fillId="3" borderId="0" applyAlignment="1" pivotButton="0" quotePrefix="0" xfId="0">
      <alignment horizontal="left" vertical="center"/>
    </xf>
    <xf numFmtId="0" fontId="2" fillId="3" borderId="0" applyAlignment="1" pivotButton="0" quotePrefix="0" xfId="0">
      <alignment horizontal="left" vertical="center"/>
    </xf>
    <xf numFmtId="0" fontId="0" fillId="4" borderId="0" pivotButton="0" quotePrefix="0" xfId="0"/>
    <xf numFmtId="0" fontId="3" fillId="5" borderId="0" pivotButton="0" quotePrefix="0" xfId="0"/>
    <xf numFmtId="0" fontId="4" fillId="6" borderId="0" pivotButton="0" quotePrefix="0" xfId="0"/>
    <xf numFmtId="0" fontId="5" fillId="6" borderId="0" applyAlignment="1" pivotButton="0" quotePrefix="0" xfId="0">
      <alignment horizontal="left" vertical="center"/>
    </xf>
    <xf numFmtId="0" fontId="6" fillId="5" borderId="0" applyAlignment="1" pivotButton="0" quotePrefix="0" xfId="0">
      <alignment horizontal="left" vertical="center" indent="1"/>
    </xf>
    <xf numFmtId="0" fontId="7" fillId="6" borderId="0" applyAlignment="1" pivotButton="0" quotePrefix="0" xfId="0">
      <alignment horizontal="left" vertical="center" indent="1"/>
    </xf>
    <xf numFmtId="0" fontId="4" fillId="6" borderId="0" applyAlignment="1" pivotButton="0" quotePrefix="0" xfId="0">
      <alignment horizontal="left" vertical="center" indent="1"/>
    </xf>
    <xf numFmtId="0" fontId="8" fillId="6" borderId="0" applyAlignment="1" pivotButton="0" quotePrefix="0" xfId="0">
      <alignment horizontal="left" vertical="top" indent="1"/>
    </xf>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6" borderId="0" applyAlignment="1" pivotButton="0" quotePrefix="0" xfId="0">
      <alignment horizontal="left" vertical="center"/>
    </xf>
    <xf numFmtId="0" fontId="10" fillId="6" borderId="0" applyAlignment="1" pivotButton="0" quotePrefix="0" xfId="0">
      <alignment horizontal="left" vertical="center"/>
    </xf>
    <xf numFmtId="0" fontId="4" fillId="2" borderId="0" pivotButton="0" quotePrefix="0" xfId="0"/>
    <xf numFmtId="0" fontId="11" fillId="2" borderId="0" pivotButton="0" quotePrefix="0" xfId="0"/>
    <xf numFmtId="0" fontId="13" fillId="3" borderId="0" applyAlignment="1" pivotButton="0" quotePrefix="0" xfId="0">
      <alignment horizontal="left" vertical="center"/>
    </xf>
    <xf numFmtId="0" fontId="14" fillId="3" borderId="0" applyAlignment="1" pivotButton="0" quotePrefix="0" xfId="0">
      <alignment horizontal="left" vertical="center"/>
    </xf>
    <xf numFmtId="0" fontId="0" fillId="12" borderId="0" pivotButton="0" quotePrefix="0" xfId="0"/>
    <xf numFmtId="0" fontId="0" fillId="13" borderId="0" pivotButton="0" quotePrefix="0" xfId="0"/>
    <xf numFmtId="0" fontId="15" fillId="6" borderId="0" pivotButton="0" quotePrefix="0" xfId="0"/>
    <xf numFmtId="0" fontId="16" fillId="2" borderId="0" pivotButton="0" quotePrefix="0" xfId="0"/>
    <xf numFmtId="0" fontId="17" fillId="2" borderId="0" pivotButton="0" quotePrefix="0" xfId="0"/>
    <xf numFmtId="0" fontId="18" fillId="2" borderId="0" pivotButton="0" quotePrefix="0" xfId="0"/>
    <xf numFmtId="0" fontId="6" fillId="5" borderId="0" pivotButton="0" quotePrefix="0" xfId="0"/>
    <xf numFmtId="0" fontId="19" fillId="5" borderId="0" pivotButton="0" quotePrefix="0" xfId="0"/>
    <xf numFmtId="0" fontId="20" fillId="6" borderId="0" pivotButton="0" quotePrefix="0" xfId="0"/>
    <xf numFmtId="0" fontId="9" fillId="6" borderId="0" applyAlignment="1" pivotButton="0" quotePrefix="0" xfId="0">
      <alignment horizontal="center" vertical="center"/>
    </xf>
    <xf numFmtId="0" fontId="21" fillId="10" borderId="0" pivotButton="0" quotePrefix="0" xfId="0"/>
    <xf numFmtId="0" fontId="22" fillId="6" borderId="0" applyAlignment="1" pivotButton="0" quotePrefix="0" xfId="0">
      <alignment horizontal="left" vertical="center"/>
    </xf>
    <xf numFmtId="0" fontId="23" fillId="4" borderId="0" pivotButton="0" quotePrefix="0" xfId="0"/>
    <xf numFmtId="0" fontId="24" fillId="12" borderId="0" pivotButton="0" quotePrefix="0" xfId="0"/>
    <xf numFmtId="0" fontId="25" fillId="3" borderId="1" applyAlignment="1" pivotButton="0" quotePrefix="0" xfId="0">
      <alignment horizontal="left" vertical="center" wrapText="1"/>
    </xf>
    <xf numFmtId="0" fontId="25" fillId="3" borderId="1" applyAlignment="1" pivotButton="0" quotePrefix="0" xfId="0">
      <alignment horizontal="center" vertical="center" wrapText="1"/>
    </xf>
    <xf numFmtId="0" fontId="26" fillId="5" borderId="2" applyAlignment="1" pivotButton="0" quotePrefix="0" xfId="0">
      <alignment horizontal="left" vertical="center"/>
    </xf>
    <xf numFmtId="0" fontId="26" fillId="5" borderId="2" applyAlignment="1" pivotButton="0" quotePrefix="0" xfId="0">
      <alignment horizontal="center" vertical="center"/>
    </xf>
    <xf numFmtId="0" fontId="26" fillId="5" borderId="2" applyAlignment="1" pivotButton="0" quotePrefix="0" xfId="0">
      <alignment horizontal="right" vertical="center"/>
    </xf>
    <xf numFmtId="0" fontId="27" fillId="7" borderId="2" applyAlignment="1" pivotButton="0" quotePrefix="0" xfId="0">
      <alignment horizontal="center" vertical="center"/>
    </xf>
    <xf numFmtId="0" fontId="18" fillId="5" borderId="2" applyAlignment="1" pivotButton="0" quotePrefix="0" xfId="0">
      <alignment horizontal="center" vertical="center"/>
    </xf>
    <xf numFmtId="0" fontId="28" fillId="8" borderId="2" applyAlignment="1" pivotButton="0" quotePrefix="0" xfId="0">
      <alignment horizontal="center" vertical="center"/>
    </xf>
    <xf numFmtId="0" fontId="26" fillId="6" borderId="2" applyAlignment="1" pivotButton="0" quotePrefix="0" xfId="0">
      <alignment horizontal="left" vertical="center"/>
    </xf>
    <xf numFmtId="0" fontId="26" fillId="6" borderId="2" applyAlignment="1" pivotButton="0" quotePrefix="0" xfId="0">
      <alignment horizontal="center" vertical="center"/>
    </xf>
    <xf numFmtId="0" fontId="26" fillId="6" borderId="2" applyAlignment="1" pivotButton="0" quotePrefix="0" xfId="0">
      <alignment horizontal="right" vertical="center"/>
    </xf>
    <xf numFmtId="0" fontId="18" fillId="6" borderId="2" applyAlignment="1" pivotButton="0" quotePrefix="0" xfId="0">
      <alignment horizontal="center" vertical="center"/>
    </xf>
    <xf numFmtId="0" fontId="29" fillId="14" borderId="2" applyAlignment="1" pivotButton="0" quotePrefix="0" xfId="0">
      <alignment horizontal="center" vertical="center"/>
    </xf>
    <xf numFmtId="0" fontId="30" fillId="10" borderId="2" applyAlignment="1" pivotButton="0" quotePrefix="0" xfId="0">
      <alignment horizontal="center" vertical="center"/>
    </xf>
    <xf numFmtId="0" fontId="31" fillId="12" borderId="2" applyAlignment="1" pivotButton="0" quotePrefix="0" xfId="0">
      <alignment horizontal="center" vertical="center"/>
    </xf>
    <xf numFmtId="164" fontId="26" fillId="5" borderId="2" applyAlignment="1" pivotButton="0" quotePrefix="0" xfId="0">
      <alignment horizontal="center" vertical="center"/>
    </xf>
    <xf numFmtId="164" fontId="26" fillId="6" borderId="2" applyAlignment="1" pivotButton="0" quotePrefix="0" xfId="0">
      <alignment horizontal="center" vertical="center"/>
    </xf>
    <xf numFmtId="0" fontId="32" fillId="4" borderId="2" applyAlignment="1" pivotButton="0" quotePrefix="0" xfId="0">
      <alignment horizontal="center" vertical="center"/>
    </xf>
    <xf numFmtId="0" fontId="9" fillId="5" borderId="0" pivotButton="0" quotePrefix="0" xfId="0"/>
    <xf numFmtId="0" fontId="25" fillId="3" borderId="0" applyAlignment="1" pivotButton="0" quotePrefix="0" xfId="0">
      <alignment horizontal="center" vertical="center"/>
    </xf>
    <xf numFmtId="0" fontId="33" fillId="6" borderId="0" applyAlignment="1" pivotButton="0" quotePrefix="0" xfId="0">
      <alignment horizontal="left" vertical="center"/>
    </xf>
    <xf numFmtId="0" fontId="34" fillId="5" borderId="2" applyAlignment="1" pivotButton="0" quotePrefix="0" xfId="0">
      <alignment horizontal="left" vertical="top" wrapText="1"/>
    </xf>
    <xf numFmtId="0" fontId="34" fillId="6" borderId="2" applyAlignment="1" pivotButton="0" quotePrefix="0" xfId="0">
      <alignment horizontal="left" vertical="top" wrapText="1"/>
    </xf>
    <xf numFmtId="165" fontId="26" fillId="5" borderId="2" applyAlignment="1" pivotButton="0" quotePrefix="0" xfId="0">
      <alignment horizontal="center" vertical="center"/>
    </xf>
    <xf numFmtId="49" fontId="26" fillId="5" borderId="2" applyAlignment="1" pivotButton="0" quotePrefix="0" xfId="0">
      <alignment horizontal="center" vertical="center"/>
    </xf>
    <xf numFmtId="165" fontId="26" fillId="6" borderId="2" applyAlignment="1" pivotButton="0" quotePrefix="0" xfId="0">
      <alignment horizontal="center" vertical="center"/>
    </xf>
    <xf numFmtId="0" fontId="35" fillId="13" borderId="2" applyAlignment="1" pivotButton="0" quotePrefix="0" xfId="0">
      <alignment horizontal="center" vertical="center"/>
    </xf>
    <xf numFmtId="49" fontId="26" fillId="6" borderId="2" applyAlignment="1" pivotButton="0" quotePrefix="0" xfId="0">
      <alignment horizontal="center" vertical="center"/>
    </xf>
    <xf numFmtId="0" fontId="25" fillId="3" borderId="1" applyAlignment="1" pivotButton="0" quotePrefix="0" xfId="0">
      <alignment horizontal="right" vertical="center" wrapText="1"/>
    </xf>
    <xf numFmtId="4" fontId="26" fillId="5" borderId="2" applyAlignment="1" pivotButton="0" quotePrefix="0" xfId="0">
      <alignment horizontal="right" vertical="center"/>
    </xf>
    <xf numFmtId="4" fontId="26" fillId="6" borderId="2" applyAlignment="1" pivotButton="0" quotePrefix="0" xfId="0">
      <alignment horizontal="right" vertical="center"/>
    </xf>
    <xf numFmtId="0" fontId="15" fillId="3" borderId="2" applyAlignment="1" pivotButton="0" quotePrefix="0" xfId="0">
      <alignment horizontal="right" vertical="center"/>
    </xf>
    <xf numFmtId="0" fontId="15" fillId="3" borderId="2" applyAlignment="1" pivotButton="0" quotePrefix="0" xfId="0">
      <alignment horizontal="left" vertical="center"/>
    </xf>
    <xf numFmtId="3" fontId="15" fillId="3" borderId="2" applyAlignment="1" pivotButton="0" quotePrefix="0" xfId="0">
      <alignment horizontal="right" vertical="center"/>
    </xf>
    <xf numFmtId="4" fontId="15" fillId="3" borderId="2" applyAlignment="1" pivotButton="0" quotePrefix="0" xfId="0">
      <alignment horizontal="right" vertical="center"/>
    </xf>
    <xf numFmtId="0" fontId="36" fillId="6" borderId="0" pivotButton="0" quotePrefix="0" xfId="0"/>
    <xf numFmtId="0" fontId="0" fillId="6" borderId="0" pivotButton="0" quotePrefix="0" xfId="0"/>
    <xf numFmtId="0" fontId="10" fillId="6" borderId="0" pivotButton="0" quotePrefix="0" xfId="0"/>
    <xf numFmtId="0" fontId="37" fillId="6" borderId="0" pivotButton="0" quotePrefix="0" xfId="0"/>
    <xf numFmtId="0" fontId="38" fillId="6" borderId="0" pivotButton="0" quotePrefix="0" xfId="0"/>
    <xf numFmtId="0" fontId="39" fillId="6" borderId="0" pivotButton="0" quotePrefix="0" xfId="0"/>
    <xf numFmtId="166" fontId="26" fillId="5" borderId="2" applyAlignment="1" pivotButton="0" quotePrefix="0" xfId="0">
      <alignment horizontal="right" vertical="center"/>
    </xf>
    <xf numFmtId="166" fontId="26" fillId="6" borderId="2" applyAlignment="1" pivotButton="0" quotePrefix="0" xfId="0">
      <alignment horizontal="right" vertical="center"/>
    </xf>
    <xf numFmtId="166" fontId="15" fillId="3" borderId="2" applyAlignment="1" pivotButton="0" quotePrefix="0" xfId="0">
      <alignment horizontal="right" vertical="center"/>
    </xf>
    <xf numFmtId="0" fontId="9" fillId="3" borderId="0" pivotButton="0" quotePrefix="0" xfId="0"/>
    <xf numFmtId="0" fontId="22" fillId="6" borderId="0" applyAlignment="1" pivotButton="0" quotePrefix="0" xfId="0">
      <alignment horizontal="left" vertical="top" wrapText="1"/>
    </xf>
    <xf numFmtId="0" fontId="5" fillId="6" borderId="0" pivotButton="0" quotePrefix="0" xfId="0"/>
    <xf numFmtId="166" fontId="40" fillId="6" borderId="0" applyAlignment="1" pivotButton="0" quotePrefix="0" xfId="0">
      <alignment horizontal="right" vertical="center"/>
    </xf>
    <xf numFmtId="166" fontId="19" fillId="6" borderId="0" applyAlignment="1" pivotButton="0" quotePrefix="0" xfId="0">
      <alignment horizontal="right" vertical="center"/>
    </xf>
    <xf numFmtId="166" fontId="6" fillId="6" borderId="0" applyAlignment="1" pivotButton="0" quotePrefix="0" xfId="0">
      <alignment horizontal="right" vertical="center"/>
    </xf>
    <xf numFmtId="166" fontId="41" fillId="6" borderId="0" applyAlignment="1" pivotButton="0" quotePrefix="0" xfId="0">
      <alignment horizontal="right" vertical="center"/>
    </xf>
    <xf numFmtId="166" fontId="42" fillId="6" borderId="0" applyAlignment="1" pivotButton="0" quotePrefix="0" xfId="0">
      <alignment horizontal="right" vertical="center"/>
    </xf>
    <xf numFmtId="0" fontId="19" fillId="6" borderId="0" pivotButton="0" quotePrefix="0" xfId="0"/>
    <xf numFmtId="0" fontId="26" fillId="6" borderId="0" pivotButton="0" quotePrefix="0" xfId="0"/>
    <xf numFmtId="166" fontId="15" fillId="5"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mmand Center'!A1" TargetMode="External" Id="rId1" /><Relationship Type="http://schemas.openxmlformats.org/officeDocument/2006/relationships/hyperlink" Target="#'Detailing Hub'!A1" TargetMode="External" Id="rId2" /><Relationship Type="http://schemas.openxmlformats.org/officeDocument/2006/relationships/hyperlink" Target="#'Drawing Sets'!A1" TargetMode="External" Id="rId3" /><Relationship Type="http://schemas.openxmlformats.org/officeDocument/2006/relationships/hyperlink" Target="#'Drawings'!A1" TargetMode="External" Id="rId4" /><Relationship Type="http://schemas.openxmlformats.org/officeDocument/2006/relationships/hyperlink" Target="#'Submittals'!A1" TargetMode="External" Id="rId5" /><Relationship Type="http://schemas.openxmlformats.org/officeDocument/2006/relationships/hyperlink" Target="#'RFIs'!A1" TargetMode="External" Id="rId6" /><Relationship Type="http://schemas.openxmlformats.org/officeDocument/2006/relationships/hyperlink" Target="#'Schedule'!A1" TargetMode="External" Id="rId7" /><Relationship Type="http://schemas.openxmlformats.org/officeDocument/2006/relationships/hyperlink" Target="#'Work Packages'!A1" TargetMode="External" Id="rId8" /><Relationship Type="http://schemas.openxmlformats.org/officeDocument/2006/relationships/hyperlink" Target="#'Deliveries'!A1" TargetMode="External" Id="rId9" /><Relationship Type="http://schemas.openxmlformats.org/officeDocument/2006/relationships/hyperlink" Target="#'Fabrication'!A1" TargetMode="External" Id="rId10" /><Relationship Type="http://schemas.openxmlformats.org/officeDocument/2006/relationships/hyperlink" Target="#'Change Orders'!A1" TargetMode="External" Id="rId11" /><Relationship Type="http://schemas.openxmlformats.org/officeDocument/2006/relationships/hyperlink" Target="#'Financials'!A1" TargetMode="External" Id="rId12" /><Relationship Type="http://schemas.openxmlformats.org/officeDocument/2006/relationships/hyperlink" Target="#'Vendors'!A1" TargetMode="External" Id="rId13" /><Relationship Type="http://schemas.openxmlformats.org/officeDocument/2006/relationships/hyperlink" Target="#'About'!A1" TargetMode="External" Id="rId14" /></Relationships>
</file>

<file path=xl/worksheets/sheet1.xml><?xml version="1.0" encoding="utf-8"?>
<worksheet xmlns="http://schemas.openxmlformats.org/spreadsheetml/2006/main">
  <sheetPr>
    <tabColor rgb="001F2937"/>
    <outlinePr summaryBelow="1" summaryRight="1"/>
    <pageSetUpPr/>
  </sheetPr>
  <dimension ref="A1:O38"/>
  <sheetViews>
    <sheetView showGridLines="0" workbookViewId="0">
      <selection activeCell="A1" sqref="A1"/>
    </sheetView>
  </sheetViews>
  <sheetFormatPr baseColWidth="8" defaultRowHeight="15"/>
  <cols>
    <col width="2.4"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2.4" customWidth="1" min="14" max="14"/>
    <col width="2.4" customWidth="1" min="15" max="15"/>
  </cols>
  <sheetData>
    <row r="1">
      <c r="A1" s="1" t="n"/>
      <c r="B1" s="2" t="n"/>
      <c r="C1" s="2" t="n"/>
      <c r="D1" s="2" t="n"/>
      <c r="E1" s="2" t="n"/>
      <c r="F1" s="2" t="n"/>
      <c r="G1" s="2" t="n"/>
      <c r="H1" s="2" t="n"/>
      <c r="I1" s="2" t="n"/>
      <c r="J1" s="2" t="n"/>
      <c r="K1" s="2" t="n"/>
      <c r="L1" s="2" t="n"/>
      <c r="M1" s="2" t="n"/>
      <c r="N1" s="2" t="n"/>
      <c r="O1" s="2" t="n"/>
    </row>
    <row r="2" ht="38" customHeight="1">
      <c r="A2" s="2" t="n"/>
      <c r="B2" s="3" t="inlineStr">
        <is>
          <t>STEELBUILD  PRO</t>
        </is>
      </c>
      <c r="C2" s="2" t="n"/>
      <c r="D2" s="2" t="n"/>
      <c r="E2" s="2" t="n"/>
      <c r="F2" s="2" t="n"/>
      <c r="G2" s="2" t="n"/>
      <c r="H2" s="2" t="n"/>
      <c r="I2" s="2" t="n"/>
      <c r="J2" s="2" t="n"/>
      <c r="K2" s="2" t="n"/>
      <c r="L2" s="2" t="n"/>
      <c r="M2" s="2" t="n"/>
      <c r="N2" s="2" t="n"/>
      <c r="O2" s="2" t="n"/>
    </row>
    <row r="3" ht="20" customHeight="1">
      <c r="A3" s="2" t="n"/>
      <c r="B3" s="4" t="inlineStr">
        <is>
          <t>Structural Steel Project Management  ·  Excel Edition</t>
        </is>
      </c>
      <c r="C3" s="2" t="n"/>
      <c r="D3" s="2" t="n"/>
      <c r="E3" s="2" t="n"/>
      <c r="F3" s="2" t="n"/>
      <c r="G3" s="2" t="n"/>
      <c r="H3" s="2" t="n"/>
      <c r="I3" s="2" t="n"/>
      <c r="J3" s="2" t="n"/>
      <c r="K3" s="2" t="n"/>
      <c r="L3" s="2" t="n"/>
      <c r="M3" s="2" t="n"/>
      <c r="N3" s="2" t="n"/>
      <c r="O3" s="2" t="n"/>
    </row>
    <row r="4" ht="4" customHeight="1">
      <c r="A4" s="2" t="n"/>
      <c r="B4" s="5" t="n"/>
      <c r="C4" s="2" t="n"/>
      <c r="D4" s="2" t="n"/>
      <c r="E4" s="2" t="n"/>
      <c r="F4" s="2" t="n"/>
      <c r="G4" s="2" t="n"/>
      <c r="H4" s="2" t="n"/>
      <c r="I4" s="2" t="n"/>
      <c r="J4" s="2" t="n"/>
      <c r="K4" s="2" t="n"/>
      <c r="L4" s="2" t="n"/>
      <c r="M4" s="2" t="n"/>
      <c r="N4" s="2" t="n"/>
      <c r="O4" s="2" t="n"/>
    </row>
    <row r="5">
      <c r="A5" s="2" t="n"/>
      <c r="B5" s="2" t="n"/>
      <c r="C5" s="2" t="n"/>
      <c r="D5" s="2" t="n"/>
      <c r="E5" s="2" t="n"/>
      <c r="F5" s="2" t="n"/>
      <c r="G5" s="2" t="n"/>
      <c r="H5" s="2" t="n"/>
      <c r="I5" s="2" t="n"/>
      <c r="J5" s="2" t="n"/>
      <c r="K5" s="2" t="n"/>
      <c r="L5" s="2" t="n"/>
      <c r="M5" s="2" t="n"/>
      <c r="N5" s="2" t="n"/>
      <c r="O5" s="2" t="n"/>
    </row>
    <row r="6" ht="26" customHeight="1">
      <c r="A6" s="2" t="n"/>
      <c r="B6" s="6" t="inlineStr">
        <is>
          <t xml:space="preserve">  JOB 25531   ·   Skyport at Redfield</t>
        </is>
      </c>
      <c r="C6" s="2" t="n"/>
      <c r="D6" s="2" t="n"/>
      <c r="E6" s="2" t="n"/>
      <c r="F6" s="2" t="n"/>
      <c r="G6" s="2" t="n"/>
      <c r="H6" s="2" t="n"/>
      <c r="I6" s="2" t="n"/>
      <c r="J6" s="2" t="n"/>
      <c r="K6" s="2" t="n"/>
      <c r="L6" s="2" t="n"/>
      <c r="M6" s="2" t="n"/>
      <c r="N6" s="2" t="n"/>
      <c r="O6" s="2" t="n"/>
    </row>
    <row r="7">
      <c r="A7" s="2" t="n"/>
      <c r="B7" s="7" t="inlineStr">
        <is>
          <t xml:space="preserve"> CLIENT</t>
        </is>
      </c>
      <c r="C7" s="2" t="n"/>
      <c r="D7" s="8" t="inlineStr">
        <is>
          <t>Westone</t>
        </is>
      </c>
      <c r="E7" s="2" t="n"/>
      <c r="F7" s="2" t="n"/>
      <c r="G7" s="2" t="n"/>
      <c r="H7" s="7" t="inlineStr">
        <is>
          <t xml:space="preserve"> GENERAL CONTRACTOR</t>
        </is>
      </c>
      <c r="I7" s="2" t="n"/>
      <c r="J7" s="8" t="inlineStr">
        <is>
          <t>LGE Design/Build</t>
        </is>
      </c>
      <c r="K7" s="2" t="n"/>
      <c r="L7" s="2" t="n"/>
      <c r="M7" s="2" t="n"/>
      <c r="N7" s="2" t="n"/>
      <c r="O7" s="2" t="n"/>
    </row>
    <row r="8">
      <c r="A8" s="2" t="n"/>
      <c r="B8" s="7" t="inlineStr">
        <is>
          <t xml:space="preserve"> ENGINEER OF RECORD</t>
        </is>
      </c>
      <c r="C8" s="2" t="n"/>
      <c r="D8" s="8" t="inlineStr">
        <is>
          <t>Khran</t>
        </is>
      </c>
      <c r="E8" s="2" t="n"/>
      <c r="F8" s="2" t="n"/>
      <c r="G8" s="2" t="n"/>
      <c r="H8" s="7" t="inlineStr">
        <is>
          <t xml:space="preserve"> PROJECT MANAGER</t>
        </is>
      </c>
      <c r="I8" s="2" t="n"/>
      <c r="J8" s="8" t="inlineStr">
        <is>
          <t>Nick Lortz</t>
        </is>
      </c>
      <c r="K8" s="2" t="n"/>
      <c r="L8" s="2" t="n"/>
      <c r="M8" s="2" t="n"/>
      <c r="N8" s="2" t="n"/>
      <c r="O8" s="2" t="n"/>
    </row>
    <row r="9">
      <c r="A9" s="2" t="n"/>
      <c r="B9" s="7" t="inlineStr">
        <is>
          <t xml:space="preserve"> SUPERINTENDENT</t>
        </is>
      </c>
      <c r="C9" s="2" t="n"/>
      <c r="D9" s="8" t="inlineStr">
        <is>
          <t>Matt Barbee</t>
        </is>
      </c>
      <c r="E9" s="2" t="n"/>
      <c r="F9" s="2" t="n"/>
      <c r="G9" s="2" t="n"/>
      <c r="H9" s="7" t="inlineStr">
        <is>
          <t xml:space="preserve"> JOB TYPE</t>
        </is>
      </c>
      <c r="I9" s="2" t="n"/>
      <c r="J9" s="8" t="inlineStr">
        <is>
          <t>Beams/Joists/Deck</t>
        </is>
      </c>
      <c r="K9" s="2" t="n"/>
      <c r="L9" s="2" t="n"/>
      <c r="M9" s="2" t="n"/>
      <c r="N9" s="2" t="n"/>
      <c r="O9" s="2" t="n"/>
    </row>
    <row r="10">
      <c r="A10" s="2" t="n"/>
      <c r="B10" s="7" t="inlineStr">
        <is>
          <t xml:space="preserve"> CONTRACT TYPE</t>
        </is>
      </c>
      <c r="C10" s="2" t="n"/>
      <c r="D10" s="8" t="inlineStr">
        <is>
          <t>Lump Sum</t>
        </is>
      </c>
      <c r="E10" s="2" t="n"/>
      <c r="F10" s="2" t="n"/>
      <c r="G10" s="2" t="n"/>
      <c r="H10" s="7" t="inlineStr">
        <is>
          <t xml:space="preserve"> ADDRESS</t>
        </is>
      </c>
      <c r="I10" s="2" t="n"/>
      <c r="J10" s="8" t="inlineStr">
        <is>
          <t>7600 E Redfield Rd. Scottsdale, AZ 85260</t>
        </is>
      </c>
      <c r="K10" s="2" t="n"/>
      <c r="L10" s="2" t="n"/>
      <c r="M10" s="2" t="n"/>
      <c r="N10" s="2" t="n"/>
      <c r="O10" s="2" t="n"/>
    </row>
    <row r="11">
      <c r="A11" s="2" t="n"/>
      <c r="B11" s="2" t="n"/>
      <c r="C11" s="2" t="n"/>
      <c r="D11" s="2" t="n"/>
      <c r="E11" s="2" t="n"/>
      <c r="F11" s="2" t="n"/>
      <c r="G11" s="2" t="n"/>
      <c r="H11" s="2" t="n"/>
      <c r="I11" s="2" t="n"/>
      <c r="J11" s="2" t="n"/>
      <c r="K11" s="2" t="n"/>
      <c r="L11" s="2" t="n"/>
      <c r="M11" s="2" t="n"/>
      <c r="N11" s="2" t="n"/>
      <c r="O11" s="2" t="n"/>
    </row>
    <row r="12" ht="22" customHeight="1">
      <c r="A12" s="2" t="n"/>
      <c r="B12" s="9" t="inlineStr">
        <is>
          <t>SNAPSHOT AT A GLANCE</t>
        </is>
      </c>
      <c r="C12" s="2" t="n"/>
      <c r="D12" s="2" t="n"/>
      <c r="E12" s="2" t="n"/>
      <c r="F12" s="2" t="n"/>
      <c r="G12" s="2" t="n"/>
      <c r="H12" s="2" t="n"/>
      <c r="I12" s="2" t="n"/>
      <c r="J12" s="2" t="n"/>
      <c r="K12" s="2" t="n"/>
      <c r="L12" s="2" t="n"/>
      <c r="M12" s="2" t="n"/>
      <c r="N12" s="2" t="n"/>
      <c r="O12" s="2" t="n"/>
    </row>
    <row r="13" ht="26" customHeight="1">
      <c r="A13" s="2" t="n"/>
      <c r="B13" s="10" t="inlineStr">
        <is>
          <t>Fabrication</t>
        </is>
      </c>
      <c r="C13" s="2" t="n"/>
      <c r="D13" s="10" t="inlineStr">
        <is>
          <t>$1,895,403</t>
        </is>
      </c>
      <c r="E13" s="2" t="n"/>
      <c r="F13" s="10" t="inlineStr">
        <is>
          <t>2026-10-01</t>
        </is>
      </c>
      <c r="G13" s="2" t="n"/>
      <c r="H13" s="10" t="inlineStr">
        <is>
          <t>162</t>
        </is>
      </c>
      <c r="I13" s="2" t="n"/>
      <c r="J13" s="10" t="inlineStr">
        <is>
          <t>4</t>
        </is>
      </c>
      <c r="K13" s="2" t="n"/>
      <c r="L13" s="10" t="inlineStr">
        <is>
          <t>21.2</t>
        </is>
      </c>
      <c r="M13" s="2" t="n"/>
      <c r="N13" s="2" t="n"/>
      <c r="O13" s="2" t="n"/>
    </row>
    <row r="14" ht="13" customHeight="1">
      <c r="A14" s="2" t="n"/>
      <c r="B14" s="11" t="inlineStr">
        <is>
          <t>PHASE</t>
        </is>
      </c>
      <c r="C14" s="2" t="n"/>
      <c r="D14" s="11" t="inlineStr">
        <is>
          <t>CONTRACT VALUE</t>
        </is>
      </c>
      <c r="E14" s="2" t="n"/>
      <c r="F14" s="11" t="inlineStr">
        <is>
          <t>FORECAST FINISH</t>
        </is>
      </c>
      <c r="G14" s="2" t="n"/>
      <c r="H14" s="11" t="inlineStr">
        <is>
          <t>DRAWING SHEETS</t>
        </is>
      </c>
      <c r="I14" s="2" t="n"/>
      <c r="J14" s="11" t="inlineStr">
        <is>
          <t>OPEN RFIS</t>
        </is>
      </c>
      <c r="K14" s="2" t="n"/>
      <c r="L14" s="11" t="inlineStr">
        <is>
          <t>TONS DELIVERED</t>
        </is>
      </c>
      <c r="M14" s="2" t="n"/>
      <c r="N14" s="2" t="n"/>
      <c r="O14" s="2" t="n"/>
    </row>
    <row r="15" ht="14" customHeight="1">
      <c r="A15" s="2" t="n"/>
      <c r="B15" s="12" t="inlineStr">
        <is>
          <t>On Track</t>
        </is>
      </c>
      <c r="C15" s="2" t="n"/>
      <c r="D15" s="12" t="inlineStr">
        <is>
          <t>Retainage 10%</t>
        </is>
      </c>
      <c r="E15" s="2" t="n"/>
      <c r="F15" s="12" t="inlineStr">
        <is>
          <t>Target 2026-12-31</t>
        </is>
      </c>
      <c r="G15" s="2" t="n"/>
      <c r="H15" s="12" t="inlineStr">
        <is>
          <t>129 released</t>
        </is>
      </c>
      <c r="I15" s="2" t="n"/>
      <c r="J15" s="12" t="inlineStr">
        <is>
          <t>of 59 total</t>
        </is>
      </c>
      <c r="K15" s="2" t="n"/>
      <c r="L15" s="12" t="inlineStr">
        <is>
          <t>13 loads</t>
        </is>
      </c>
      <c r="M15" s="2" t="n"/>
      <c r="N15" s="2" t="n"/>
      <c r="O15" s="2" t="n"/>
    </row>
    <row r="16" ht="3" customHeight="1">
      <c r="A16" s="2" t="n"/>
      <c r="B16" s="5" t="n"/>
      <c r="C16" s="2" t="n"/>
      <c r="D16" s="13" t="n"/>
      <c r="E16" s="2" t="n"/>
      <c r="F16" s="14" t="n"/>
      <c r="G16" s="2" t="n"/>
      <c r="H16" s="15" t="n"/>
      <c r="I16" s="2" t="n"/>
      <c r="J16" s="16" t="n"/>
      <c r="K16" s="2" t="n"/>
      <c r="L16" s="17" t="n"/>
      <c r="M16" s="2" t="n"/>
      <c r="N16" s="2" t="n"/>
      <c r="O16" s="2" t="n"/>
    </row>
    <row r="17">
      <c r="A17" s="2" t="n"/>
      <c r="B17" s="2" t="n"/>
      <c r="C17" s="2" t="n"/>
      <c r="D17" s="2" t="n"/>
      <c r="E17" s="2" t="n"/>
      <c r="F17" s="2" t="n"/>
      <c r="G17" s="2" t="n"/>
      <c r="H17" s="2" t="n"/>
      <c r="I17" s="2" t="n"/>
      <c r="J17" s="2" t="n"/>
      <c r="K17" s="2" t="n"/>
      <c r="L17" s="2" t="n"/>
      <c r="M17" s="2" t="n"/>
      <c r="N17" s="2" t="n"/>
      <c r="O17" s="2" t="n"/>
    </row>
    <row r="18" ht="22" customHeight="1">
      <c r="A18" s="2" t="n"/>
      <c r="B18" s="9" t="inlineStr">
        <is>
          <t>WORKBOOK CONTENTS  ·  click to open</t>
        </is>
      </c>
      <c r="C18" s="2" t="n"/>
      <c r="D18" s="2" t="n"/>
      <c r="E18" s="2" t="n"/>
      <c r="F18" s="2" t="n"/>
      <c r="G18" s="2" t="n"/>
      <c r="H18" s="2" t="n"/>
      <c r="I18" s="2" t="n"/>
      <c r="J18" s="2" t="n"/>
      <c r="K18" s="2" t="n"/>
      <c r="L18" s="2" t="n"/>
      <c r="M18" s="2" t="n"/>
      <c r="N18" s="2" t="n"/>
      <c r="O18" s="2" t="n"/>
    </row>
    <row r="19" ht="17" customHeight="1">
      <c r="A19" s="2" t="n"/>
      <c r="B19" s="18" t="inlineStr">
        <is>
          <t xml:space="preserve">  ▸  Command Center</t>
        </is>
      </c>
      <c r="C19" s="2" t="n"/>
      <c r="D19" s="2" t="n"/>
      <c r="E19" s="19" t="inlineStr">
        <is>
          <t>Portfolio KPIs, ball-in-court &amp; exceptions</t>
        </is>
      </c>
      <c r="F19" s="2" t="n"/>
      <c r="G19" s="2" t="n"/>
      <c r="H19" s="2" t="n"/>
      <c r="I19" s="2" t="n"/>
      <c r="J19" s="2" t="n"/>
      <c r="K19" s="2" t="n"/>
      <c r="L19" s="2" t="n"/>
      <c r="M19" s="2" t="n"/>
      <c r="N19" s="2" t="n"/>
      <c r="O19" s="2" t="n"/>
    </row>
    <row r="20" ht="17" customHeight="1">
      <c r="A20" s="2" t="n"/>
      <c r="B20" s="18" t="inlineStr">
        <is>
          <t xml:space="preserve">  ▸  Detailing Hub</t>
        </is>
      </c>
      <c r="C20" s="2" t="n"/>
      <c r="D20" s="2" t="n"/>
      <c r="E20" s="19" t="inlineStr">
        <is>
          <t>The moat — drawing sets ↔ submittals ↔ RFIs</t>
        </is>
      </c>
      <c r="F20" s="2" t="n"/>
      <c r="G20" s="2" t="n"/>
      <c r="H20" s="2" t="n"/>
      <c r="I20" s="2" t="n"/>
      <c r="J20" s="2" t="n"/>
      <c r="K20" s="2" t="n"/>
      <c r="L20" s="2" t="n"/>
      <c r="M20" s="2" t="n"/>
      <c r="N20" s="2" t="n"/>
      <c r="O20" s="2" t="n"/>
    </row>
    <row r="21" ht="17" customHeight="1">
      <c r="A21" s="2" t="n"/>
      <c r="B21" s="18" t="inlineStr">
        <is>
          <t xml:space="preserve">  ▸  Drawing Sets</t>
        </is>
      </c>
      <c r="C21" s="2" t="n"/>
      <c r="D21" s="2" t="n"/>
      <c r="E21" s="19" t="inlineStr">
        <is>
          <t>13 packages tracked to set-level approval</t>
        </is>
      </c>
      <c r="F21" s="2" t="n"/>
      <c r="G21" s="2" t="n"/>
      <c r="H21" s="2" t="n"/>
      <c r="I21" s="2" t="n"/>
      <c r="J21" s="2" t="n"/>
      <c r="K21" s="2" t="n"/>
      <c r="L21" s="2" t="n"/>
      <c r="M21" s="2" t="n"/>
      <c r="N21" s="2" t="n"/>
      <c r="O21" s="2" t="n"/>
    </row>
    <row r="22" ht="17" customHeight="1">
      <c r="A22" s="2" t="n"/>
      <c r="B22" s="18" t="inlineStr">
        <is>
          <t xml:space="preserve">  ▸  Drawings</t>
        </is>
      </c>
      <c r="C22" s="2" t="n"/>
      <c r="D22" s="2" t="n"/>
      <c r="E22" s="19" t="inlineStr">
        <is>
          <t>162 sheets with stage &amp; revision</t>
        </is>
      </c>
      <c r="F22" s="2" t="n"/>
      <c r="G22" s="2" t="n"/>
      <c r="H22" s="2" t="n"/>
      <c r="I22" s="2" t="n"/>
      <c r="J22" s="2" t="n"/>
      <c r="K22" s="2" t="n"/>
      <c r="L22" s="2" t="n"/>
      <c r="M22" s="2" t="n"/>
      <c r="N22" s="2" t="n"/>
      <c r="O22" s="2" t="n"/>
    </row>
    <row r="23" ht="17" customHeight="1">
      <c r="A23" s="2" t="n"/>
      <c r="B23" s="18" t="inlineStr">
        <is>
          <t xml:space="preserve">  ▸  Submittals</t>
        </is>
      </c>
      <c r="C23" s="2" t="n"/>
      <c r="D23" s="2" t="n"/>
      <c r="E23" s="19" t="inlineStr">
        <is>
          <t>Shop-drawing workflow (IFA→OFA→BFA→OFS→IFC→RFF)</t>
        </is>
      </c>
      <c r="F23" s="2" t="n"/>
      <c r="G23" s="2" t="n"/>
      <c r="H23" s="2" t="n"/>
      <c r="I23" s="2" t="n"/>
      <c r="J23" s="2" t="n"/>
      <c r="K23" s="2" t="n"/>
      <c r="L23" s="2" t="n"/>
      <c r="M23" s="2" t="n"/>
      <c r="N23" s="2" t="n"/>
      <c r="O23" s="2" t="n"/>
    </row>
    <row r="24" ht="17" customHeight="1">
      <c r="A24" s="2" t="n"/>
      <c r="B24" s="18" t="inlineStr">
        <is>
          <t xml:space="preserve">  ▸  RFIs</t>
        </is>
      </c>
      <c r="C24" s="2" t="n"/>
      <c r="D24" s="2" t="n"/>
      <c r="E24" s="19" t="inlineStr">
        <is>
          <t>59 requests for information w/ cost &amp; schedule impact</t>
        </is>
      </c>
      <c r="F24" s="2" t="n"/>
      <c r="G24" s="2" t="n"/>
      <c r="H24" s="2" t="n"/>
      <c r="I24" s="2" t="n"/>
      <c r="J24" s="2" t="n"/>
      <c r="K24" s="2" t="n"/>
      <c r="L24" s="2" t="n"/>
      <c r="M24" s="2" t="n"/>
      <c r="N24" s="2" t="n"/>
      <c r="O24" s="2" t="n"/>
    </row>
    <row r="25" ht="17" customHeight="1">
      <c r="A25" s="2" t="n"/>
      <c r="B25" s="18" t="inlineStr">
        <is>
          <t xml:space="preserve">  ▸  Schedule</t>
        </is>
      </c>
      <c r="C25" s="2" t="n"/>
      <c r="D25" s="2" t="n"/>
      <c r="E25" s="19" t="inlineStr">
        <is>
          <t>72 WBS tasks across the project phases</t>
        </is>
      </c>
      <c r="F25" s="2" t="n"/>
      <c r="G25" s="2" t="n"/>
      <c r="H25" s="2" t="n"/>
      <c r="I25" s="2" t="n"/>
      <c r="J25" s="2" t="n"/>
      <c r="K25" s="2" t="n"/>
      <c r="L25" s="2" t="n"/>
      <c r="M25" s="2" t="n"/>
      <c r="N25" s="2" t="n"/>
      <c r="O25" s="2" t="n"/>
    </row>
    <row r="26" ht="17" customHeight="1">
      <c r="A26" s="2" t="n"/>
      <c r="B26" s="18" t="inlineStr">
        <is>
          <t xml:space="preserve">  ▸  Work Packages</t>
        </is>
      </c>
      <c r="C26" s="2" t="n"/>
      <c r="D26" s="2" t="n"/>
      <c r="E26" s="19" t="inlineStr">
        <is>
          <t>Released work scoped by area &amp; crew</t>
        </is>
      </c>
      <c r="F26" s="2" t="n"/>
      <c r="G26" s="2" t="n"/>
      <c r="H26" s="2" t="n"/>
      <c r="I26" s="2" t="n"/>
      <c r="J26" s="2" t="n"/>
      <c r="K26" s="2" t="n"/>
      <c r="L26" s="2" t="n"/>
      <c r="M26" s="2" t="n"/>
      <c r="N26" s="2" t="n"/>
      <c r="O26" s="2" t="n"/>
    </row>
    <row r="27" ht="17" customHeight="1">
      <c r="A27" s="2" t="n"/>
      <c r="B27" s="18" t="inlineStr">
        <is>
          <t xml:space="preserve">  ▸  Deliveries</t>
        </is>
      </c>
      <c r="C27" s="2" t="n"/>
      <c r="D27" s="2" t="n"/>
      <c r="E27" s="19" t="inlineStr">
        <is>
          <t>Truckloads, pieces &amp; tonnage</t>
        </is>
      </c>
      <c r="F27" s="2" t="n"/>
      <c r="G27" s="2" t="n"/>
      <c r="H27" s="2" t="n"/>
      <c r="I27" s="2" t="n"/>
      <c r="J27" s="2" t="n"/>
      <c r="K27" s="2" t="n"/>
      <c r="L27" s="2" t="n"/>
      <c r="M27" s="2" t="n"/>
      <c r="N27" s="2" t="n"/>
      <c r="O27" s="2" t="n"/>
    </row>
    <row r="28" ht="17" customHeight="1">
      <c r="A28" s="2" t="n"/>
      <c r="B28" s="18" t="inlineStr">
        <is>
          <t xml:space="preserve">  ▸  Fabrication</t>
        </is>
      </c>
      <c r="C28" s="2" t="n"/>
      <c r="D28" s="2" t="n"/>
      <c r="E28" s="19" t="inlineStr">
        <is>
          <t>Fab-release control (module structure)</t>
        </is>
      </c>
      <c r="F28" s="2" t="n"/>
      <c r="G28" s="2" t="n"/>
      <c r="H28" s="2" t="n"/>
      <c r="I28" s="2" t="n"/>
      <c r="J28" s="2" t="n"/>
      <c r="K28" s="2" t="n"/>
      <c r="L28" s="2" t="n"/>
      <c r="M28" s="2" t="n"/>
      <c r="N28" s="2" t="n"/>
      <c r="O28" s="2" t="n"/>
    </row>
    <row r="29" ht="17" customHeight="1">
      <c r="A29" s="2" t="n"/>
      <c r="B29" s="18" t="inlineStr">
        <is>
          <t xml:space="preserve">  ▸  Change Orders</t>
        </is>
      </c>
      <c r="C29" s="2" t="n"/>
      <c r="D29" s="2" t="n"/>
      <c r="E29" s="19" t="inlineStr">
        <is>
          <t>Contract changes &amp; margin</t>
        </is>
      </c>
      <c r="F29" s="2" t="n"/>
      <c r="G29" s="2" t="n"/>
      <c r="H29" s="2" t="n"/>
      <c r="I29" s="2" t="n"/>
      <c r="J29" s="2" t="n"/>
      <c r="K29" s="2" t="n"/>
      <c r="L29" s="2" t="n"/>
      <c r="M29" s="2" t="n"/>
      <c r="N29" s="2" t="n"/>
      <c r="O29" s="2" t="n"/>
    </row>
    <row r="30" ht="17" customHeight="1">
      <c r="A30" s="2" t="n"/>
      <c r="B30" s="18" t="inlineStr">
        <is>
          <t xml:space="preserve">  ▸  Financials</t>
        </is>
      </c>
      <c r="C30" s="2" t="n"/>
      <c r="D30" s="2" t="n"/>
      <c r="E30" s="19" t="inlineStr">
        <is>
          <t>Contract value, change orders &amp; AIA pay-app</t>
        </is>
      </c>
      <c r="F30" s="2" t="n"/>
      <c r="G30" s="2" t="n"/>
      <c r="H30" s="2" t="n"/>
      <c r="I30" s="2" t="n"/>
      <c r="J30" s="2" t="n"/>
      <c r="K30" s="2" t="n"/>
      <c r="L30" s="2" t="n"/>
      <c r="M30" s="2" t="n"/>
      <c r="N30" s="2" t="n"/>
      <c r="O30" s="2" t="n"/>
    </row>
    <row r="31" ht="17" customHeight="1">
      <c r="A31" s="2" t="n"/>
      <c r="B31" s="18" t="inlineStr">
        <is>
          <t xml:space="preserve">  ▸  Vendors</t>
        </is>
      </c>
      <c r="C31" s="2" t="n"/>
      <c r="D31" s="2" t="n"/>
      <c r="E31" s="19" t="inlineStr">
        <is>
          <t>Subs, suppliers &amp; service providers</t>
        </is>
      </c>
      <c r="F31" s="2" t="n"/>
      <c r="G31" s="2" t="n"/>
      <c r="H31" s="2" t="n"/>
      <c r="I31" s="2" t="n"/>
      <c r="J31" s="2" t="n"/>
      <c r="K31" s="2" t="n"/>
      <c r="L31" s="2" t="n"/>
      <c r="M31" s="2" t="n"/>
      <c r="N31" s="2" t="n"/>
      <c r="O31" s="2" t="n"/>
    </row>
    <row r="32" ht="17" customHeight="1">
      <c r="A32" s="2" t="n"/>
      <c r="B32" s="18" t="inlineStr">
        <is>
          <t xml:space="preserve">  ▸  About</t>
        </is>
      </c>
      <c r="C32" s="2" t="n"/>
      <c r="D32" s="2" t="n"/>
      <c r="E32" s="19" t="inlineStr">
        <is>
          <t>What SteelBuild Pro is + legends &amp; data dictionary</t>
        </is>
      </c>
      <c r="F32" s="2" t="n"/>
      <c r="G32" s="2" t="n"/>
      <c r="H32" s="2" t="n"/>
      <c r="I32" s="2" t="n"/>
      <c r="J32" s="2" t="n"/>
      <c r="K32" s="2" t="n"/>
      <c r="L32" s="2" t="n"/>
      <c r="M32" s="2" t="n"/>
      <c r="N32" s="2" t="n"/>
      <c r="O32" s="2" t="n"/>
    </row>
    <row r="33">
      <c r="A33" s="2" t="n"/>
      <c r="B33" s="2" t="n"/>
      <c r="C33" s="2" t="n"/>
      <c r="D33" s="2" t="n"/>
      <c r="E33" s="2" t="n"/>
      <c r="F33" s="2" t="n"/>
      <c r="G33" s="2" t="n"/>
      <c r="H33" s="2" t="n"/>
      <c r="I33" s="2" t="n"/>
      <c r="J33" s="2" t="n"/>
      <c r="K33" s="2" t="n"/>
      <c r="L33" s="2" t="n"/>
      <c r="M33" s="2" t="n"/>
      <c r="N33" s="2" t="n"/>
      <c r="O33" s="2" t="n"/>
    </row>
    <row r="34">
      <c r="A34" s="2" t="n"/>
      <c r="B34" s="20" t="inlineStr">
        <is>
          <t>Real-data snapshot generated June 22, 2026  ·  Source: SteelBuild Pro (live Supabase database)  ·  Read-only demonstration workbook</t>
        </is>
      </c>
      <c r="C34" s="2" t="n"/>
      <c r="D34" s="2" t="n"/>
      <c r="E34" s="2" t="n"/>
      <c r="F34" s="2" t="n"/>
      <c r="G34" s="2" t="n"/>
      <c r="H34" s="2" t="n"/>
      <c r="I34" s="2" t="n"/>
      <c r="J34" s="2" t="n"/>
      <c r="K34" s="2" t="n"/>
      <c r="L34" s="2" t="n"/>
      <c r="M34" s="2" t="n"/>
      <c r="N34" s="2" t="n"/>
      <c r="O34" s="2" t="n"/>
    </row>
    <row r="35">
      <c r="A35" s="2" t="n"/>
      <c r="B35" s="21" t="inlineStr">
        <is>
          <t>SteelBuild Pro is a SaaS platform for structural steel fabricators &amp; erectors. This workbook recreates its modules, one sheet per screen.</t>
        </is>
      </c>
      <c r="C35" s="2" t="n"/>
      <c r="D35" s="2" t="n"/>
      <c r="E35" s="2" t="n"/>
      <c r="F35" s="2" t="n"/>
      <c r="G35" s="2" t="n"/>
      <c r="H35" s="2" t="n"/>
      <c r="I35" s="2" t="n"/>
      <c r="J35" s="2" t="n"/>
      <c r="K35" s="2" t="n"/>
      <c r="L35" s="2" t="n"/>
      <c r="M35" s="2" t="n"/>
      <c r="N35" s="2" t="n"/>
      <c r="O35" s="2" t="n"/>
    </row>
    <row r="36">
      <c r="A36" s="2" t="n"/>
      <c r="B36" s="2" t="n"/>
      <c r="C36" s="2" t="n"/>
      <c r="D36" s="2" t="n"/>
      <c r="E36" s="2" t="n"/>
      <c r="F36" s="2" t="n"/>
      <c r="G36" s="2" t="n"/>
      <c r="H36" s="2" t="n"/>
      <c r="I36" s="2" t="n"/>
      <c r="J36" s="2" t="n"/>
      <c r="K36" s="2" t="n"/>
      <c r="L36" s="2" t="n"/>
      <c r="M36" s="2" t="n"/>
      <c r="N36" s="2" t="n"/>
      <c r="O36" s="2" t="n"/>
    </row>
    <row r="37">
      <c r="A37" s="2" t="n"/>
      <c r="B37" s="2" t="n"/>
      <c r="C37" s="2" t="n"/>
      <c r="D37" s="2" t="n"/>
      <c r="E37" s="2" t="n"/>
      <c r="F37" s="2" t="n"/>
      <c r="G37" s="2" t="n"/>
      <c r="H37" s="2" t="n"/>
      <c r="I37" s="2" t="n"/>
      <c r="J37" s="2" t="n"/>
      <c r="K37" s="2" t="n"/>
      <c r="L37" s="2" t="n"/>
      <c r="M37" s="2" t="n"/>
      <c r="N37" s="2" t="n"/>
      <c r="O37" s="2" t="n"/>
    </row>
    <row r="38">
      <c r="A38" s="2" t="n"/>
      <c r="B38" s="2" t="n"/>
      <c r="C38" s="2" t="n"/>
      <c r="D38" s="2" t="n"/>
      <c r="E38" s="2" t="n"/>
      <c r="F38" s="2" t="n"/>
      <c r="G38" s="2" t="n"/>
      <c r="H38" s="2" t="n"/>
      <c r="I38" s="2" t="n"/>
      <c r="J38" s="2" t="n"/>
      <c r="K38" s="2" t="n"/>
      <c r="L38" s="2" t="n"/>
      <c r="M38" s="2" t="n"/>
      <c r="N38" s="2" t="n"/>
      <c r="O38" s="2" t="n"/>
    </row>
  </sheetData>
  <mergeCells count="75">
    <mergeCell ref="B2:M2"/>
    <mergeCell ref="E29:M29"/>
    <mergeCell ref="B16:C16"/>
    <mergeCell ref="B7:C7"/>
    <mergeCell ref="E19:M19"/>
    <mergeCell ref="F16:G16"/>
    <mergeCell ref="L16:M16"/>
    <mergeCell ref="H10:I10"/>
    <mergeCell ref="J14:K14"/>
    <mergeCell ref="B23:D23"/>
    <mergeCell ref="E28:M28"/>
    <mergeCell ref="E31:M31"/>
    <mergeCell ref="D7:F7"/>
    <mergeCell ref="J13:K13"/>
    <mergeCell ref="B29:D29"/>
    <mergeCell ref="H9:I9"/>
    <mergeCell ref="L13:M13"/>
    <mergeCell ref="E30:M30"/>
    <mergeCell ref="J7:L7"/>
    <mergeCell ref="B28:D28"/>
    <mergeCell ref="B19:D19"/>
    <mergeCell ref="F15:G15"/>
    <mergeCell ref="E27:M27"/>
    <mergeCell ref="D13:E13"/>
    <mergeCell ref="J15:K15"/>
    <mergeCell ref="L15:M15"/>
    <mergeCell ref="D9:F9"/>
    <mergeCell ref="B14:C14"/>
    <mergeCell ref="E26:M26"/>
    <mergeCell ref="B30:D30"/>
    <mergeCell ref="D8:F8"/>
    <mergeCell ref="B8:C8"/>
    <mergeCell ref="L14:M14"/>
    <mergeCell ref="B24:D24"/>
    <mergeCell ref="B20:D20"/>
    <mergeCell ref="B6:M6"/>
    <mergeCell ref="B13:C13"/>
    <mergeCell ref="E32:M32"/>
    <mergeCell ref="D16:E16"/>
    <mergeCell ref="E25:M25"/>
    <mergeCell ref="H16:I16"/>
    <mergeCell ref="H7:I7"/>
    <mergeCell ref="J16:K16"/>
    <mergeCell ref="B32:D32"/>
    <mergeCell ref="B10:C10"/>
    <mergeCell ref="E22:M22"/>
    <mergeCell ref="B26:D26"/>
    <mergeCell ref="J8:L8"/>
    <mergeCell ref="F13:G13"/>
    <mergeCell ref="B9:C9"/>
    <mergeCell ref="E21:M21"/>
    <mergeCell ref="B4:M4"/>
    <mergeCell ref="H13:I13"/>
    <mergeCell ref="H14:I14"/>
    <mergeCell ref="B25:D25"/>
    <mergeCell ref="D10:F10"/>
    <mergeCell ref="E24:M24"/>
    <mergeCell ref="B15:C15"/>
    <mergeCell ref="J10:L10"/>
    <mergeCell ref="B3:M3"/>
    <mergeCell ref="D15:E15"/>
    <mergeCell ref="B31:D31"/>
    <mergeCell ref="B22:D22"/>
    <mergeCell ref="E23:M23"/>
    <mergeCell ref="H15:I15"/>
    <mergeCell ref="A1:O1"/>
    <mergeCell ref="D14:E14"/>
    <mergeCell ref="B27:D27"/>
    <mergeCell ref="F14:G14"/>
    <mergeCell ref="B18:M18"/>
    <mergeCell ref="H8:I8"/>
    <mergeCell ref="J9:L9"/>
    <mergeCell ref="B21:D21"/>
    <mergeCell ref="B12:M12"/>
    <mergeCell ref="E20:M20"/>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 xmlns:r="http://schemas.openxmlformats.org/officeDocument/2006/relationships" ref="B32" r:id="rId14"/>
  </hyperlinks>
  <pageMargins left="0.75" right="0.75" top="1" bottom="1" header="0.5" footer="0.5"/>
</worksheet>
</file>

<file path=xl/worksheets/sheet2.xml><?xml version="1.0" encoding="utf-8"?>
<worksheet xmlns="http://schemas.openxmlformats.org/spreadsheetml/2006/main">
  <sheetPr>
    <tabColor rgb="001F2937"/>
    <outlinePr summaryBelow="1" summaryRight="1"/>
    <pageSetUpPr/>
  </sheetPr>
  <dimension ref="A1:M32"/>
  <sheetViews>
    <sheetView showGridLines="0" workbookViewId="0">
      <selection activeCell="A1" sqref="A1"/>
    </sheetView>
  </sheetViews>
  <sheetFormatPr baseColWidth="8" defaultRowHeight="15"/>
  <cols>
    <col width="2.4" customWidth="1" min="1" max="1"/>
    <col width="2.4" customWidth="1" min="12" max="12"/>
    <col width="2.4" customWidth="1" min="13" max="13"/>
  </cols>
  <sheetData>
    <row r="1">
      <c r="A1" s="1" t="n"/>
      <c r="B1" s="2" t="n"/>
      <c r="C1" s="2" t="n"/>
      <c r="D1" s="2" t="n"/>
      <c r="E1" s="2" t="n"/>
      <c r="F1" s="2" t="n"/>
      <c r="G1" s="2" t="n"/>
      <c r="H1" s="2" t="n"/>
      <c r="I1" s="2" t="n"/>
      <c r="J1" s="2" t="n"/>
      <c r="K1" s="2" t="n"/>
      <c r="L1" s="2" t="n"/>
      <c r="M1" s="2" t="n"/>
    </row>
    <row r="2" ht="30" customHeight="1">
      <c r="A2" s="2" t="n"/>
      <c r="B2" s="22" t="inlineStr">
        <is>
          <t>Command Center</t>
        </is>
      </c>
      <c r="C2" s="2" t="n"/>
      <c r="D2" s="2" t="n"/>
      <c r="E2" s="2" t="n"/>
      <c r="F2" s="2" t="n"/>
      <c r="G2" s="2" t="n"/>
      <c r="H2" s="2" t="n"/>
      <c r="I2" s="2" t="n"/>
      <c r="J2" s="2" t="n"/>
      <c r="K2" s="2" t="n"/>
      <c r="L2" s="2" t="n"/>
      <c r="M2" s="2" t="n"/>
    </row>
    <row r="3" ht="18" customHeight="1">
      <c r="A3" s="2" t="n"/>
      <c r="B3" s="23" t="inlineStr">
        <is>
          <t>Job 25531 · Skyport at Redfield · live operational rollups</t>
        </is>
      </c>
      <c r="C3" s="2" t="n"/>
      <c r="D3" s="2" t="n"/>
      <c r="E3" s="2" t="n"/>
      <c r="F3" s="2" t="n"/>
      <c r="G3" s="2" t="n"/>
      <c r="H3" s="2" t="n"/>
      <c r="I3" s="2" t="n"/>
      <c r="J3" s="2" t="n"/>
      <c r="K3" s="2" t="n"/>
      <c r="L3" s="2" t="n"/>
      <c r="M3" s="2" t="n"/>
    </row>
    <row r="4" ht="3" customHeight="1">
      <c r="A4" s="2" t="n"/>
      <c r="B4" s="5"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ht="22" customHeight="1">
      <c r="A6" s="2" t="n"/>
      <c r="B6" s="9" t="inlineStr">
        <is>
          <t>KEY PERFORMANCE INDICATORS</t>
        </is>
      </c>
      <c r="C6" s="2" t="n"/>
      <c r="D6" s="2" t="n"/>
      <c r="E6" s="2" t="n"/>
      <c r="F6" s="2" t="n"/>
      <c r="G6" s="2" t="n"/>
      <c r="H6" s="2" t="n"/>
      <c r="I6" s="2" t="n"/>
      <c r="J6" s="2" t="n"/>
      <c r="K6" s="2" t="n"/>
      <c r="L6" s="2" t="n"/>
      <c r="M6" s="2" t="n"/>
    </row>
    <row r="7" ht="26" customHeight="1">
      <c r="A7" s="2" t="n"/>
      <c r="B7" s="10" t="inlineStr">
        <is>
          <t>162</t>
        </is>
      </c>
      <c r="C7" s="2" t="n"/>
      <c r="D7" s="10" t="inlineStr">
        <is>
          <t>13</t>
        </is>
      </c>
      <c r="E7" s="2" t="n"/>
      <c r="F7" s="10" t="inlineStr">
        <is>
          <t>13</t>
        </is>
      </c>
      <c r="G7" s="2" t="n"/>
      <c r="H7" s="10" t="inlineStr">
        <is>
          <t>4</t>
        </is>
      </c>
      <c r="I7" s="2" t="n"/>
      <c r="J7" s="10" t="inlineStr">
        <is>
          <t>1</t>
        </is>
      </c>
      <c r="K7" s="2" t="n"/>
      <c r="L7" s="2" t="n"/>
      <c r="M7" s="2" t="n"/>
    </row>
    <row r="8" ht="13" customHeight="1">
      <c r="A8" s="2" t="n"/>
      <c r="B8" s="11" t="inlineStr">
        <is>
          <t>DRAWING SHEETS</t>
        </is>
      </c>
      <c r="C8" s="2" t="n"/>
      <c r="D8" s="11" t="inlineStr">
        <is>
          <t>DRAWING SETS</t>
        </is>
      </c>
      <c r="E8" s="2" t="n"/>
      <c r="F8" s="11" t="inlineStr">
        <is>
          <t>SUBMITTALS</t>
        </is>
      </c>
      <c r="G8" s="2" t="n"/>
      <c r="H8" s="11" t="inlineStr">
        <is>
          <t>OPEN RFIS</t>
        </is>
      </c>
      <c r="I8" s="2" t="n"/>
      <c r="J8" s="11" t="inlineStr">
        <is>
          <t>RFIS · COST IMPACT</t>
        </is>
      </c>
      <c r="K8" s="2" t="n"/>
      <c r="L8" s="2" t="n"/>
      <c r="M8" s="2" t="n"/>
    </row>
    <row r="9" ht="14" customHeight="1">
      <c r="A9" s="2" t="n"/>
      <c r="B9" s="12" t="inlineStr">
        <is>
          <t>129 released</t>
        </is>
      </c>
      <c r="C9" s="2" t="n"/>
      <c r="D9" s="12" t="inlineStr">
        <is>
          <t>0 approved</t>
        </is>
      </c>
      <c r="E9" s="2" t="n"/>
      <c r="F9" s="12" t="inlineStr">
        <is>
          <t>7 released to fab</t>
        </is>
      </c>
      <c r="G9" s="2" t="n"/>
      <c r="H9" s="12" t="inlineStr">
        <is>
          <t>59 total</t>
        </is>
      </c>
      <c r="I9" s="2" t="n"/>
      <c r="J9" s="12" t="inlineStr">
        <is>
          <t>flagged $</t>
        </is>
      </c>
      <c r="K9" s="2" t="n"/>
      <c r="L9" s="2" t="n"/>
      <c r="M9" s="2" t="n"/>
    </row>
    <row r="10" ht="3" customHeight="1">
      <c r="A10" s="2" t="n"/>
      <c r="B10" s="15" t="n"/>
      <c r="C10" s="2" t="n"/>
      <c r="D10" s="5" t="n"/>
      <c r="E10" s="2" t="n"/>
      <c r="F10" s="14" t="n"/>
      <c r="G10" s="2" t="n"/>
      <c r="H10" s="16" t="n"/>
      <c r="I10" s="2" t="n"/>
      <c r="J10" s="24" t="n"/>
      <c r="K10" s="2" t="n"/>
      <c r="L10" s="2" t="n"/>
      <c r="M10" s="2" t="n"/>
    </row>
    <row r="11">
      <c r="A11" s="2" t="n"/>
      <c r="B11" s="2" t="n"/>
      <c r="C11" s="2" t="n"/>
      <c r="D11" s="2" t="n"/>
      <c r="E11" s="2" t="n"/>
      <c r="F11" s="2" t="n"/>
      <c r="G11" s="2" t="n"/>
      <c r="H11" s="2" t="n"/>
      <c r="I11" s="2" t="n"/>
      <c r="J11" s="2" t="n"/>
      <c r="K11" s="2" t="n"/>
      <c r="L11" s="2" t="n"/>
      <c r="M11" s="2" t="n"/>
    </row>
    <row r="12" ht="26" customHeight="1">
      <c r="A12" s="2" t="n"/>
      <c r="B12" s="10" t="inlineStr">
        <is>
          <t>8</t>
        </is>
      </c>
      <c r="C12" s="2" t="n"/>
      <c r="D12" s="10" t="inlineStr">
        <is>
          <t>21.2</t>
        </is>
      </c>
      <c r="E12" s="2" t="n"/>
      <c r="F12" s="10" t="inlineStr">
        <is>
          <t>43%</t>
        </is>
      </c>
      <c r="G12" s="2" t="n"/>
      <c r="H12" s="10" t="inlineStr">
        <is>
          <t>15</t>
        </is>
      </c>
      <c r="I12" s="2" t="n"/>
      <c r="J12" s="10" t="inlineStr">
        <is>
          <t>1</t>
        </is>
      </c>
      <c r="K12" s="2" t="n"/>
      <c r="L12" s="2" t="n"/>
      <c r="M12" s="2" t="n"/>
    </row>
    <row r="13" ht="13" customHeight="1">
      <c r="A13" s="2" t="n"/>
      <c r="B13" s="11" t="inlineStr">
        <is>
          <t>RFIS · SCHED IMPACT</t>
        </is>
      </c>
      <c r="C13" s="2" t="n"/>
      <c r="D13" s="11" t="inlineStr">
        <is>
          <t>TONS DELIVERED</t>
        </is>
      </c>
      <c r="E13" s="2" t="n"/>
      <c r="F13" s="11" t="inlineStr">
        <is>
          <t>SCHEDULE % COMPLETE</t>
        </is>
      </c>
      <c r="G13" s="2" t="n"/>
      <c r="H13" s="11" t="inlineStr">
        <is>
          <t>WORK PACKAGES</t>
        </is>
      </c>
      <c r="I13" s="2" t="n"/>
      <c r="J13" s="11" t="inlineStr">
        <is>
          <t>DELAYED TASKS</t>
        </is>
      </c>
      <c r="K13" s="2" t="n"/>
      <c r="L13" s="2" t="n"/>
      <c r="M13" s="2" t="n"/>
    </row>
    <row r="14" ht="14" customHeight="1">
      <c r="A14" s="2" t="n"/>
      <c r="B14" s="12" t="inlineStr">
        <is>
          <t>flagged days</t>
        </is>
      </c>
      <c r="C14" s="2" t="n"/>
      <c r="D14" s="12" t="inlineStr">
        <is>
          <t>13 loads</t>
        </is>
      </c>
      <c r="E14" s="2" t="n"/>
      <c r="F14" s="12" t="inlineStr">
        <is>
          <t>72 tasks</t>
        </is>
      </c>
      <c r="G14" s="2" t="n"/>
      <c r="H14" s="12" t="inlineStr">
        <is>
          <t>61% avg</t>
        </is>
      </c>
      <c r="I14" s="2" t="n"/>
      <c r="J14" s="12" t="inlineStr">
        <is>
          <t>need attention</t>
        </is>
      </c>
      <c r="K14" s="2" t="n"/>
      <c r="L14" s="2" t="n"/>
      <c r="M14" s="2" t="n"/>
    </row>
    <row r="15" ht="3" customHeight="1">
      <c r="A15" s="2" t="n"/>
      <c r="B15" s="25" t="n"/>
      <c r="C15" s="2" t="n"/>
      <c r="D15" s="17" t="n"/>
      <c r="E15" s="2" t="n"/>
      <c r="F15" s="13" t="n"/>
      <c r="G15" s="2" t="n"/>
      <c r="H15" s="5" t="n"/>
      <c r="I15" s="2" t="n"/>
      <c r="J15" s="24" t="n"/>
      <c r="K15" s="2" t="n"/>
      <c r="L15" s="2" t="n"/>
      <c r="M15" s="2" t="n"/>
    </row>
    <row r="16">
      <c r="A16" s="2" t="n"/>
      <c r="B16" s="2" t="n"/>
      <c r="C16" s="2" t="n"/>
      <c r="D16" s="2" t="n"/>
      <c r="E16" s="2" t="n"/>
      <c r="F16" s="2" t="n"/>
      <c r="G16" s="2" t="n"/>
      <c r="H16" s="2" t="n"/>
      <c r="I16" s="2" t="n"/>
      <c r="J16" s="2" t="n"/>
      <c r="K16" s="2" t="n"/>
      <c r="L16" s="2" t="n"/>
      <c r="M16" s="2" t="n"/>
    </row>
    <row r="17" ht="22" customHeight="1">
      <c r="A17" s="2" t="n"/>
      <c r="B17" s="9" t="inlineStr">
        <is>
          <t>SUBMITTAL STATUS  ·  shop-drawing workflow</t>
        </is>
      </c>
      <c r="C17" s="2" t="n"/>
      <c r="D17" s="2" t="n"/>
      <c r="E17" s="2" t="n"/>
      <c r="F17" s="2" t="n"/>
      <c r="G17" s="2" t="n"/>
      <c r="H17" s="2" t="n"/>
      <c r="I17" s="2" t="n"/>
      <c r="J17" s="2" t="n"/>
      <c r="K17" s="2" t="n"/>
      <c r="L17" s="2" t="n"/>
      <c r="M17" s="2" t="n"/>
    </row>
    <row r="18" ht="16" customHeight="1">
      <c r="A18" s="2" t="n"/>
      <c r="B18" s="26" t="inlineStr">
        <is>
          <t xml:space="preserve">  Submitted / In For Approval</t>
        </is>
      </c>
      <c r="C18" s="2" t="n"/>
      <c r="D18" s="2" t="n"/>
      <c r="E18" s="2" t="n"/>
      <c r="F18" s="16" t="n"/>
      <c r="G18" s="27" t="inlineStr">
        <is>
          <t xml:space="preserve">  1</t>
        </is>
      </c>
      <c r="H18" s="2" t="n"/>
      <c r="I18" s="2" t="n"/>
      <c r="J18" s="2" t="n"/>
      <c r="K18" s="2" t="n"/>
      <c r="L18" s="2" t="n"/>
      <c r="M18" s="2" t="n"/>
    </row>
    <row r="19" ht="16" customHeight="1">
      <c r="A19" s="2" t="n"/>
      <c r="B19" s="26" t="inlineStr">
        <is>
          <t xml:space="preserve">  Approved as Noted</t>
        </is>
      </c>
      <c r="C19" s="2" t="n"/>
      <c r="D19" s="2" t="n"/>
      <c r="E19" s="2" t="n"/>
      <c r="F19" s="14" t="n"/>
      <c r="G19" s="2" t="n"/>
      <c r="H19" s="2" t="n"/>
      <c r="I19" s="2" t="n"/>
      <c r="J19" s="28" t="inlineStr">
        <is>
          <t xml:space="preserve">  5</t>
        </is>
      </c>
      <c r="K19" s="2" t="n"/>
      <c r="L19" s="2" t="n"/>
      <c r="M19" s="2" t="n"/>
    </row>
    <row r="20" ht="16" customHeight="1">
      <c r="A20" s="2" t="n"/>
      <c r="B20" s="26" t="inlineStr">
        <is>
          <t xml:space="preserve">  Released for Fabrication</t>
        </is>
      </c>
      <c r="C20" s="2" t="n"/>
      <c r="D20" s="2" t="n"/>
      <c r="E20" s="2" t="n"/>
      <c r="F20" s="13" t="n"/>
      <c r="G20" s="2" t="n"/>
      <c r="H20" s="2" t="n"/>
      <c r="I20" s="2" t="n"/>
      <c r="J20" s="2" t="n"/>
      <c r="K20" s="2" t="n"/>
      <c r="L20" s="29" t="inlineStr">
        <is>
          <t xml:space="preserve">  7</t>
        </is>
      </c>
      <c r="M20" s="2" t="n"/>
    </row>
    <row r="21">
      <c r="A21" s="2" t="n"/>
      <c r="B21" s="2" t="n"/>
      <c r="C21" s="2" t="n"/>
      <c r="D21" s="2" t="n"/>
      <c r="E21" s="2" t="n"/>
      <c r="F21" s="2" t="n"/>
      <c r="G21" s="2" t="n"/>
      <c r="H21" s="2" t="n"/>
      <c r="I21" s="2" t="n"/>
      <c r="J21" s="2" t="n"/>
      <c r="K21" s="2" t="n"/>
      <c r="L21" s="2" t="n"/>
      <c r="M21" s="2" t="n"/>
    </row>
    <row r="22" ht="20" customHeight="1">
      <c r="A22" s="2" t="n"/>
      <c r="B22" s="30" t="inlineStr">
        <is>
          <t xml:space="preserve">  BALL IN COURT  (open items)</t>
        </is>
      </c>
      <c r="C22" s="2" t="n"/>
      <c r="D22" s="2" t="n"/>
      <c r="E22" s="2" t="n"/>
      <c r="F22" s="2" t="n"/>
      <c r="G22" s="31" t="inlineStr">
        <is>
          <t xml:space="preserve">  EXCEPTIONS  ·  what needs attention</t>
        </is>
      </c>
      <c r="H22" s="2" t="n"/>
      <c r="I22" s="2" t="n"/>
      <c r="J22" s="2" t="n"/>
      <c r="K22" s="2" t="n"/>
      <c r="L22" s="2" t="n"/>
      <c r="M22" s="2" t="n"/>
    </row>
    <row r="23" ht="15" customHeight="1">
      <c r="A23" s="2" t="n"/>
      <c r="B23" s="32" t="inlineStr">
        <is>
          <t xml:space="preserve">  Detailer</t>
        </is>
      </c>
      <c r="C23" s="2" t="n"/>
      <c r="D23" s="2" t="n"/>
      <c r="E23" s="33" t="n">
        <v>6</v>
      </c>
      <c r="F23" s="2" t="n"/>
      <c r="G23" s="34" t="inlineStr">
        <is>
          <t xml:space="preserve"> In review</t>
        </is>
      </c>
      <c r="H23" s="2" t="n"/>
      <c r="I23" s="35" t="inlineStr">
        <is>
          <t xml:space="preserve"> S-003 Ladders - Bldg. 1 &amp; 2  →  EOR</t>
        </is>
      </c>
      <c r="J23" s="2" t="n"/>
      <c r="K23" s="2" t="n"/>
      <c r="L23" s="2" t="n"/>
      <c r="M23" s="2" t="n"/>
    </row>
    <row r="24" ht="15" customHeight="1">
      <c r="A24" s="2" t="n"/>
      <c r="B24" s="32" t="inlineStr">
        <is>
          <t xml:space="preserve">  GC</t>
        </is>
      </c>
      <c r="C24" s="2" t="n"/>
      <c r="D24" s="2" t="n"/>
      <c r="E24" s="33" t="n">
        <v>4</v>
      </c>
      <c r="F24" s="2" t="n"/>
      <c r="G24" s="36" t="inlineStr">
        <is>
          <t xml:space="preserve"> Open RFI</t>
        </is>
      </c>
      <c r="H24" s="2" t="n"/>
      <c r="I24" s="35" t="inlineStr">
        <is>
          <t xml:space="preserve"> RFI #032 Stair 2 Tread, Mid-Landing Arrangement &amp; Guardrail Clarification  →  GC</t>
        </is>
      </c>
      <c r="J24" s="2" t="n"/>
      <c r="K24" s="2" t="n"/>
      <c r="L24" s="2" t="n"/>
      <c r="M24" s="2" t="n"/>
    </row>
    <row r="25" ht="15" customHeight="1">
      <c r="A25" s="2" t="n"/>
      <c r="B25" s="32" t="inlineStr">
        <is>
          <t xml:space="preserve">  —</t>
        </is>
      </c>
      <c r="C25" s="2" t="n"/>
      <c r="D25" s="2" t="n"/>
      <c r="E25" s="33" t="n">
        <v>3</v>
      </c>
      <c r="F25" s="2" t="n"/>
      <c r="G25" s="36" t="inlineStr">
        <is>
          <t xml:space="preserve"> Open RFI</t>
        </is>
      </c>
      <c r="H25" s="2" t="n"/>
      <c r="I25" s="35" t="inlineStr">
        <is>
          <t xml:space="preserve"> RFI #048 Regarding main steel BFA post review query of building-1  →  GC</t>
        </is>
      </c>
      <c r="J25" s="2" t="n"/>
      <c r="K25" s="2" t="n"/>
      <c r="L25" s="2" t="n"/>
      <c r="M25" s="2" t="n"/>
    </row>
    <row r="26" ht="15" customHeight="1">
      <c r="A26" s="2" t="n"/>
      <c r="B26" s="32" t="inlineStr">
        <is>
          <t xml:space="preserve">  S&amp;H</t>
        </is>
      </c>
      <c r="C26" s="2" t="n"/>
      <c r="D26" s="2" t="n"/>
      <c r="E26" s="33" t="n">
        <v>2</v>
      </c>
      <c r="F26" s="2" t="n"/>
      <c r="G26" s="36" t="inlineStr">
        <is>
          <t xml:space="preserve"> Open RFI</t>
        </is>
      </c>
      <c r="H26" s="2" t="n"/>
      <c r="I26" s="35" t="inlineStr">
        <is>
          <t xml:space="preserve"> RFI #053 Door Jamb Post Install  →  GC</t>
        </is>
      </c>
      <c r="J26" s="2" t="n"/>
      <c r="K26" s="2" t="n"/>
      <c r="L26" s="2" t="n"/>
      <c r="M26" s="2" t="n"/>
    </row>
    <row r="27" ht="15" customHeight="1">
      <c r="A27" s="2" t="n"/>
      <c r="B27" s="32" t="inlineStr">
        <is>
          <t xml:space="preserve">  EOR</t>
        </is>
      </c>
      <c r="C27" s="2" t="n"/>
      <c r="D27" s="2" t="n"/>
      <c r="E27" s="33" t="n">
        <v>1</v>
      </c>
      <c r="F27" s="2" t="n"/>
      <c r="G27" s="37" t="inlineStr">
        <is>
          <t xml:space="preserve"> Open RFI · sched</t>
        </is>
      </c>
      <c r="H27" s="2" t="n"/>
      <c r="I27" s="35" t="inlineStr">
        <is>
          <t xml:space="preserve"> RFI #060 Regarding hangar door post brace support arrangement at building-2.  →  GC</t>
        </is>
      </c>
      <c r="J27" s="2" t="n"/>
      <c r="K27" s="2" t="n"/>
      <c r="L27" s="2" t="n"/>
      <c r="M27" s="2" t="n"/>
    </row>
    <row r="28" ht="15" customHeight="1">
      <c r="A28" s="2" t="n"/>
      <c r="B28" s="32" t="inlineStr">
        <is>
          <t xml:space="preserve">  Owner</t>
        </is>
      </c>
      <c r="C28" s="2" t="n"/>
      <c r="D28" s="2" t="n"/>
      <c r="E28" s="33" t="n">
        <v>1</v>
      </c>
      <c r="F28" s="2" t="n"/>
      <c r="G28" s="37" t="inlineStr">
        <is>
          <t xml:space="preserve"> Delayed task</t>
        </is>
      </c>
      <c r="H28" s="2" t="n"/>
      <c r="I28" s="35" t="inlineStr">
        <is>
          <t xml:space="preserve"> Ladders - Bldg. 1 &amp; 2  →  Detailing</t>
        </is>
      </c>
      <c r="J28" s="2" t="n"/>
      <c r="K28" s="2" t="n"/>
      <c r="L28" s="2" t="n"/>
      <c r="M28" s="2" t="n"/>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row r="31">
      <c r="A31" s="2" t="n"/>
      <c r="B31" s="2" t="n"/>
      <c r="C31" s="2" t="n"/>
      <c r="D31" s="2" t="n"/>
      <c r="E31" s="2" t="n"/>
      <c r="F31" s="2" t="n"/>
      <c r="G31" s="2" t="n"/>
      <c r="H31" s="2" t="n"/>
      <c r="I31" s="2" t="n"/>
      <c r="J31" s="2" t="n"/>
      <c r="K31" s="2" t="n"/>
      <c r="L31" s="2" t="n"/>
      <c r="M31" s="2" t="n"/>
    </row>
    <row r="32">
      <c r="A32" s="2" t="n"/>
      <c r="B32" s="2" t="n"/>
      <c r="C32" s="2" t="n"/>
      <c r="D32" s="2" t="n"/>
      <c r="E32" s="2" t="n"/>
      <c r="F32" s="2" t="n"/>
      <c r="G32" s="2" t="n"/>
      <c r="H32" s="2" t="n"/>
      <c r="I32" s="2" t="n"/>
      <c r="J32" s="2" t="n"/>
      <c r="K32" s="2" t="n"/>
      <c r="L32" s="2" t="n"/>
      <c r="M32" s="2" t="n"/>
    </row>
  </sheetData>
  <mergeCells count="71">
    <mergeCell ref="F20:K20"/>
    <mergeCell ref="D10:E10"/>
    <mergeCell ref="B7:C7"/>
    <mergeCell ref="F10:G10"/>
    <mergeCell ref="B23:D23"/>
    <mergeCell ref="H10:I10"/>
    <mergeCell ref="J14:K14"/>
    <mergeCell ref="I28:K28"/>
    <mergeCell ref="J10:K10"/>
    <mergeCell ref="G27:H27"/>
    <mergeCell ref="B6:K6"/>
    <mergeCell ref="G23:H23"/>
    <mergeCell ref="B20:E20"/>
    <mergeCell ref="J13:K13"/>
    <mergeCell ref="H9:I9"/>
    <mergeCell ref="F7:G7"/>
    <mergeCell ref="J9:K9"/>
    <mergeCell ref="B12:C12"/>
    <mergeCell ref="B28:D28"/>
    <mergeCell ref="F12:G12"/>
    <mergeCell ref="I24:K24"/>
    <mergeCell ref="B4:K4"/>
    <mergeCell ref="F15:G15"/>
    <mergeCell ref="D13:E13"/>
    <mergeCell ref="J15:K15"/>
    <mergeCell ref="I23:K23"/>
    <mergeCell ref="B14:C14"/>
    <mergeCell ref="G28:H28"/>
    <mergeCell ref="F19:I19"/>
    <mergeCell ref="B8:C8"/>
    <mergeCell ref="B24:D24"/>
    <mergeCell ref="B3:K3"/>
    <mergeCell ref="B22:E22"/>
    <mergeCell ref="F8:G8"/>
    <mergeCell ref="B13:C13"/>
    <mergeCell ref="B18:E18"/>
    <mergeCell ref="A1:M1"/>
    <mergeCell ref="D7:E7"/>
    <mergeCell ref="G24:H24"/>
    <mergeCell ref="H7:I7"/>
    <mergeCell ref="B10:C10"/>
    <mergeCell ref="J7:K7"/>
    <mergeCell ref="B26:D26"/>
    <mergeCell ref="B2:K2"/>
    <mergeCell ref="B9:C9"/>
    <mergeCell ref="F13:G13"/>
    <mergeCell ref="D9:E9"/>
    <mergeCell ref="H13:I13"/>
    <mergeCell ref="H14:I14"/>
    <mergeCell ref="F9:G9"/>
    <mergeCell ref="D12:E12"/>
    <mergeCell ref="B25:D25"/>
    <mergeCell ref="D8:E8"/>
    <mergeCell ref="G26:H26"/>
    <mergeCell ref="H12:I12"/>
    <mergeCell ref="B15:C15"/>
    <mergeCell ref="J12:K12"/>
    <mergeCell ref="D15:E15"/>
    <mergeCell ref="B17:K17"/>
    <mergeCell ref="I27:K27"/>
    <mergeCell ref="G25:H25"/>
    <mergeCell ref="H15:I15"/>
    <mergeCell ref="B27:D27"/>
    <mergeCell ref="D14:E14"/>
    <mergeCell ref="I26:K26"/>
    <mergeCell ref="F14:G14"/>
    <mergeCell ref="B19:E19"/>
    <mergeCell ref="H8:I8"/>
    <mergeCell ref="J8:K8"/>
    <mergeCell ref="G22:K22"/>
    <mergeCell ref="I25:K25"/>
  </mergeCells>
  <pageMargins left="0.75" right="0.75" top="1" bottom="1" header="0.5" footer="0.5"/>
</worksheet>
</file>

<file path=xl/worksheets/sheet3.xml><?xml version="1.0" encoding="utf-8"?>
<worksheet xmlns="http://schemas.openxmlformats.org/spreadsheetml/2006/main">
  <sheetPr>
    <tabColor rgb="001F2937"/>
    <outlinePr summaryBelow="1" summaryRight="1"/>
    <pageSetUpPr/>
  </sheetPr>
  <dimension ref="A1:L31"/>
  <sheetViews>
    <sheetView showGridLines="0" workbookViewId="0">
      <selection activeCell="A1" sqref="A1"/>
    </sheetView>
  </sheetViews>
  <sheetFormatPr baseColWidth="8" defaultRowHeight="15"/>
  <cols>
    <col width="2.4" customWidth="1" min="1" max="1"/>
    <col width="11" customWidth="1" min="2" max="2"/>
    <col width="48" customWidth="1" min="3" max="3"/>
    <col width="16" customWidth="1" min="4" max="4"/>
    <col width="13" customWidth="1" min="5" max="5"/>
    <col width="7" customWidth="1" min="6" max="6"/>
    <col width="12" customWidth="1" min="7" max="7"/>
    <col width="11" customWidth="1" min="8" max="8"/>
    <col width="20" customWidth="1" min="9" max="9"/>
    <col width="13" customWidth="1" min="10" max="10"/>
    <col width="2.4" customWidth="1" min="11" max="11"/>
    <col width="2.4" customWidth="1" min="12" max="12"/>
  </cols>
  <sheetData>
    <row r="1">
      <c r="A1" s="1" t="n"/>
      <c r="B1" s="2" t="n"/>
      <c r="C1" s="2" t="n"/>
      <c r="D1" s="2" t="n"/>
      <c r="E1" s="2" t="n"/>
      <c r="F1" s="2" t="n"/>
      <c r="G1" s="2" t="n"/>
      <c r="H1" s="2" t="n"/>
      <c r="I1" s="2" t="n"/>
      <c r="J1" s="2" t="n"/>
      <c r="K1" s="2" t="n"/>
      <c r="L1" s="2" t="n"/>
    </row>
    <row r="2" ht="30" customHeight="1">
      <c r="A2" s="2" t="n"/>
      <c r="B2" s="22" t="inlineStr">
        <is>
          <t>Detailing Control Center</t>
        </is>
      </c>
      <c r="C2" s="2" t="n"/>
      <c r="D2" s="2" t="n"/>
      <c r="E2" s="2" t="n"/>
      <c r="F2" s="2" t="n"/>
      <c r="G2" s="2" t="n"/>
      <c r="H2" s="2" t="n"/>
      <c r="I2" s="2" t="n"/>
      <c r="J2" s="2" t="n"/>
      <c r="K2" s="2" t="n"/>
      <c r="L2" s="2" t="n"/>
    </row>
    <row r="3" ht="18" customHeight="1">
      <c r="A3" s="2" t="n"/>
      <c r="B3" s="23" t="inlineStr">
        <is>
          <t>The moat — drawing sets ↔ submittals ↔ RFIs, the way the real Hub links them</t>
        </is>
      </c>
      <c r="C3" s="2" t="n"/>
      <c r="D3" s="2" t="n"/>
      <c r="E3" s="2" t="n"/>
      <c r="F3" s="2" t="n"/>
      <c r="G3" s="2" t="n"/>
      <c r="H3" s="2" t="n"/>
      <c r="I3" s="2" t="n"/>
      <c r="J3" s="2" t="n"/>
      <c r="K3" s="2" t="n"/>
      <c r="L3" s="2" t="n"/>
    </row>
    <row r="4" ht="3" customHeight="1">
      <c r="A4" s="2" t="n"/>
      <c r="B4" s="5" t="n"/>
      <c r="C4" s="2" t="n"/>
      <c r="D4" s="2" t="n"/>
      <c r="E4" s="2" t="n"/>
      <c r="F4" s="2" t="n"/>
      <c r="G4" s="2" t="n"/>
      <c r="H4" s="2" t="n"/>
      <c r="I4" s="2" t="n"/>
      <c r="J4" s="2" t="n"/>
      <c r="K4" s="2" t="n"/>
      <c r="L4" s="2" t="n"/>
    </row>
    <row r="5">
      <c r="A5" s="2" t="n"/>
      <c r="B5" s="2" t="n"/>
      <c r="C5" s="2" t="n"/>
      <c r="D5" s="2" t="n"/>
      <c r="E5" s="2" t="n"/>
      <c r="F5" s="2" t="n"/>
      <c r="G5" s="2" t="n"/>
      <c r="H5" s="2" t="n"/>
      <c r="I5" s="2" t="n"/>
      <c r="J5" s="2" t="n"/>
      <c r="K5" s="2" t="n"/>
      <c r="L5" s="2" t="n"/>
    </row>
    <row r="6" ht="22" customHeight="1">
      <c r="A6" s="2" t="n"/>
      <c r="B6" s="9" t="inlineStr">
        <is>
          <t>SET ↔ SUBMITTAL LINKAGE  (auto-lock fires when the submittal is approved)</t>
        </is>
      </c>
      <c r="C6" s="2" t="n"/>
      <c r="D6" s="2" t="n"/>
      <c r="E6" s="2" t="n"/>
      <c r="F6" s="2" t="n"/>
      <c r="G6" s="2" t="n"/>
      <c r="H6" s="2" t="n"/>
      <c r="I6" s="2" t="n"/>
      <c r="J6" s="2" t="n"/>
      <c r="K6" s="2" t="n"/>
      <c r="L6" s="2" t="n"/>
    </row>
    <row r="7" ht="26" customHeight="1">
      <c r="A7" s="2" t="n"/>
      <c r="B7" s="38" t="inlineStr">
        <is>
          <t>Drawing Set</t>
        </is>
      </c>
      <c r="C7" s="38" t="inlineStr">
        <is>
          <t>Discipline</t>
        </is>
      </c>
      <c r="D7" s="39" t="inlineStr">
        <is>
          <t>Rev</t>
        </is>
      </c>
      <c r="E7" s="39" t="inlineStr">
        <is>
          <t>Sheets</t>
        </is>
      </c>
      <c r="F7" s="38" t="inlineStr">
        <is>
          <t>Set Approval</t>
        </is>
      </c>
      <c r="G7" s="39" t="inlineStr">
        <is>
          <t>Locked</t>
        </is>
      </c>
      <c r="H7" s="39" t="inlineStr">
        <is>
          <t>Submittal</t>
        </is>
      </c>
      <c r="I7" s="38" t="inlineStr">
        <is>
          <t>Submittal Status</t>
        </is>
      </c>
      <c r="J7" s="39" t="inlineStr">
        <is>
          <t>Ball in Court</t>
        </is>
      </c>
      <c r="K7" s="2" t="n"/>
      <c r="L7" s="2" t="n"/>
    </row>
    <row r="8" ht="15" customHeight="1">
      <c r="A8" s="2" t="n"/>
      <c r="B8" s="40" t="inlineStr">
        <is>
          <t>Panel Embeds - Bldg. 2</t>
        </is>
      </c>
      <c r="C8" s="40" t="inlineStr">
        <is>
          <t>Structural</t>
        </is>
      </c>
      <c r="D8" s="41" t="inlineStr">
        <is>
          <t>A</t>
        </is>
      </c>
      <c r="E8" s="42" t="n">
        <v>37</v>
      </c>
      <c r="F8" s="43" t="inlineStr">
        <is>
          <t>Approved</t>
        </is>
      </c>
      <c r="G8" s="44" t="inlineStr">
        <is>
          <t>✓</t>
        </is>
      </c>
      <c r="H8" s="41" t="inlineStr">
        <is>
          <t>S-011</t>
        </is>
      </c>
      <c r="I8" s="45" t="inlineStr">
        <is>
          <t>Approved as Noted</t>
        </is>
      </c>
      <c r="J8" s="41" t="inlineStr">
        <is>
          <t>Detailer</t>
        </is>
      </c>
      <c r="K8" s="2" t="n"/>
      <c r="L8" s="2" t="n"/>
    </row>
    <row r="9" ht="15" customHeight="1">
      <c r="A9" s="2" t="n"/>
      <c r="B9" s="46" t="inlineStr">
        <is>
          <t>Balcony Rail - Bldg. 1</t>
        </is>
      </c>
      <c r="C9" s="46" t="inlineStr">
        <is>
          <t>Structural</t>
        </is>
      </c>
      <c r="D9" s="47" t="inlineStr">
        <is>
          <t>A</t>
        </is>
      </c>
      <c r="E9" s="48" t="n">
        <v>2</v>
      </c>
      <c r="F9" s="43" t="inlineStr">
        <is>
          <t>Approved</t>
        </is>
      </c>
      <c r="G9" s="49" t="inlineStr">
        <is>
          <t>✓</t>
        </is>
      </c>
      <c r="H9" s="47" t="inlineStr">
        <is>
          <t>S-011</t>
        </is>
      </c>
      <c r="I9" s="45" t="inlineStr">
        <is>
          <t>Approved as Noted</t>
        </is>
      </c>
      <c r="J9" s="47" t="inlineStr">
        <is>
          <t>Detailer</t>
        </is>
      </c>
      <c r="K9" s="2" t="n"/>
      <c r="L9" s="2" t="n"/>
    </row>
    <row r="10" ht="15" customHeight="1">
      <c r="A10" s="2" t="n"/>
      <c r="B10" s="40" t="inlineStr">
        <is>
          <t>Stairs - Bldg 1</t>
        </is>
      </c>
      <c r="C10" s="40" t="inlineStr">
        <is>
          <t>Misc Metals</t>
        </is>
      </c>
      <c r="D10" s="41" t="inlineStr">
        <is>
          <t>A</t>
        </is>
      </c>
      <c r="E10" s="42" t="n">
        <v>13</v>
      </c>
      <c r="F10" s="43" t="inlineStr">
        <is>
          <t>Approved</t>
        </is>
      </c>
      <c r="G10" s="44" t="inlineStr">
        <is>
          <t>✓</t>
        </is>
      </c>
      <c r="H10" s="41" t="inlineStr">
        <is>
          <t>S-004</t>
        </is>
      </c>
      <c r="I10" s="45" t="inlineStr">
        <is>
          <t>Approved as Noted</t>
        </is>
      </c>
      <c r="J10" s="41" t="inlineStr">
        <is>
          <t>Detailer</t>
        </is>
      </c>
      <c r="K10" s="2" t="n"/>
      <c r="L10" s="2" t="n"/>
    </row>
    <row r="11" ht="15" customHeight="1">
      <c r="A11" s="2" t="n"/>
      <c r="B11" s="46" t="inlineStr">
        <is>
          <t>Main Steel - Bldg. 2</t>
        </is>
      </c>
      <c r="C11" s="46" t="inlineStr">
        <is>
          <t>Structural</t>
        </is>
      </c>
      <c r="D11" s="47" t="inlineStr">
        <is>
          <t>A</t>
        </is>
      </c>
      <c r="E11" s="48" t="n">
        <v>24</v>
      </c>
      <c r="F11" s="43" t="inlineStr">
        <is>
          <t>Approved</t>
        </is>
      </c>
      <c r="G11" s="49" t="inlineStr">
        <is>
          <t>✓</t>
        </is>
      </c>
      <c r="H11" s="47" t="inlineStr">
        <is>
          <t>S-009</t>
        </is>
      </c>
      <c r="I11" s="43" t="inlineStr">
        <is>
          <t>Released for Fabrication</t>
        </is>
      </c>
      <c r="J11" s="47" t="inlineStr">
        <is>
          <t>Detailer</t>
        </is>
      </c>
      <c r="K11" s="2" t="n"/>
      <c r="L11" s="2" t="n"/>
    </row>
    <row r="12" ht="15" customHeight="1">
      <c r="A12" s="2" t="n"/>
      <c r="B12" s="40" t="inlineStr">
        <is>
          <t>Balcony Rail - Bldg. 2</t>
        </is>
      </c>
      <c r="C12" s="40" t="inlineStr">
        <is>
          <t>Misc Metals</t>
        </is>
      </c>
      <c r="D12" s="41" t="inlineStr">
        <is>
          <t>A</t>
        </is>
      </c>
      <c r="E12" s="42" t="n">
        <v>11</v>
      </c>
      <c r="F12" s="43" t="inlineStr">
        <is>
          <t>Approved</t>
        </is>
      </c>
      <c r="G12" s="44" t="inlineStr">
        <is>
          <t>✓</t>
        </is>
      </c>
      <c r="H12" s="41" t="inlineStr">
        <is>
          <t>S-001</t>
        </is>
      </c>
      <c r="I12" s="45" t="inlineStr">
        <is>
          <t>Approved as Noted</t>
        </is>
      </c>
      <c r="J12" s="41" t="inlineStr">
        <is>
          <t>Detailer</t>
        </is>
      </c>
      <c r="K12" s="2" t="n"/>
      <c r="L12" s="2" t="n"/>
    </row>
    <row r="13" ht="15" customHeight="1">
      <c r="A13" s="2" t="n"/>
      <c r="B13" s="46" t="inlineStr">
        <is>
          <t>Site Misc. Steel</t>
        </is>
      </c>
      <c r="C13" s="46" t="inlineStr">
        <is>
          <t>Misc Metals</t>
        </is>
      </c>
      <c r="D13" s="47" t="inlineStr">
        <is>
          <t>A</t>
        </is>
      </c>
      <c r="E13" s="48" t="n">
        <v>13</v>
      </c>
      <c r="F13" s="43" t="inlineStr">
        <is>
          <t>Approved</t>
        </is>
      </c>
      <c r="G13" s="49" t="inlineStr">
        <is>
          <t>✓</t>
        </is>
      </c>
      <c r="H13" s="47" t="inlineStr">
        <is>
          <t>S-002</t>
        </is>
      </c>
      <c r="I13" s="45" t="inlineStr">
        <is>
          <t>Approved as Noted</t>
        </is>
      </c>
      <c r="J13" s="47" t="inlineStr">
        <is>
          <t>Detailer</t>
        </is>
      </c>
      <c r="K13" s="2" t="n"/>
      <c r="L13" s="2" t="n"/>
    </row>
    <row r="14" ht="15" customHeight="1">
      <c r="A14" s="2" t="n"/>
      <c r="B14" s="40" t="inlineStr">
        <is>
          <t>Anchor Bolts - Bldg. 1 &amp; 2</t>
        </is>
      </c>
      <c r="C14" s="40" t="inlineStr">
        <is>
          <t>Structural</t>
        </is>
      </c>
      <c r="D14" s="41" t="inlineStr">
        <is>
          <t>1</t>
        </is>
      </c>
      <c r="E14" s="42" t="n">
        <v>13</v>
      </c>
      <c r="F14" s="43" t="inlineStr">
        <is>
          <t>Approved</t>
        </is>
      </c>
      <c r="G14" s="44" t="inlineStr">
        <is>
          <t>✓</t>
        </is>
      </c>
      <c r="H14" s="41" t="inlineStr">
        <is>
          <t>S-006</t>
        </is>
      </c>
      <c r="I14" s="43" t="inlineStr">
        <is>
          <t>Released for Fabrication</t>
        </is>
      </c>
      <c r="J14" s="41" t="inlineStr">
        <is>
          <t>S&amp;H</t>
        </is>
      </c>
      <c r="K14" s="2" t="n"/>
      <c r="L14" s="2" t="n"/>
    </row>
    <row r="15" ht="15" customHeight="1">
      <c r="A15" s="2" t="n"/>
      <c r="B15" s="46" t="inlineStr">
        <is>
          <t>Ladders - Bldg. 1 &amp; 2</t>
        </is>
      </c>
      <c r="C15" s="46" t="inlineStr">
        <is>
          <t>Misc Metals</t>
        </is>
      </c>
      <c r="D15" s="47" t="inlineStr">
        <is>
          <t>A</t>
        </is>
      </c>
      <c r="E15" s="48" t="n">
        <v>4</v>
      </c>
      <c r="F15" s="50" t="inlineStr"/>
      <c r="G15" s="49" t="inlineStr"/>
      <c r="H15" s="47" t="inlineStr"/>
      <c r="I15" s="50" t="inlineStr"/>
      <c r="J15" s="47" t="inlineStr"/>
      <c r="K15" s="2" t="n"/>
      <c r="L15" s="2" t="n"/>
    </row>
    <row r="16" ht="15" customHeight="1">
      <c r="A16" s="2" t="n"/>
      <c r="B16" s="40" t="inlineStr">
        <is>
          <t>Stairs - Bldg. 2</t>
        </is>
      </c>
      <c r="C16" s="40" t="inlineStr">
        <is>
          <t>Misc Metals</t>
        </is>
      </c>
      <c r="D16" s="41" t="inlineStr">
        <is>
          <t>A</t>
        </is>
      </c>
      <c r="E16" s="42" t="n">
        <v>6</v>
      </c>
      <c r="F16" s="43" t="inlineStr">
        <is>
          <t>Approved</t>
        </is>
      </c>
      <c r="G16" s="44" t="inlineStr">
        <is>
          <t>✓</t>
        </is>
      </c>
      <c r="H16" s="41" t="inlineStr">
        <is>
          <t>S-005</t>
        </is>
      </c>
      <c r="I16" s="45" t="inlineStr">
        <is>
          <t>Approved as Noted</t>
        </is>
      </c>
      <c r="J16" s="41" t="inlineStr">
        <is>
          <t>Detailer</t>
        </is>
      </c>
      <c r="K16" s="2" t="n"/>
      <c r="L16" s="2" t="n"/>
    </row>
    <row r="17" ht="15" customHeight="1">
      <c r="A17" s="2" t="n"/>
      <c r="B17" s="46" t="inlineStr">
        <is>
          <t>Panel Embeds - Bldg. 1</t>
        </is>
      </c>
      <c r="C17" s="46" t="inlineStr">
        <is>
          <t>Structural</t>
        </is>
      </c>
      <c r="D17" s="47" t="inlineStr">
        <is>
          <t>1</t>
        </is>
      </c>
      <c r="E17" s="48" t="n">
        <v>17</v>
      </c>
      <c r="F17" s="43" t="inlineStr">
        <is>
          <t>Approved</t>
        </is>
      </c>
      <c r="G17" s="49" t="inlineStr">
        <is>
          <t>✓</t>
        </is>
      </c>
      <c r="H17" s="47" t="inlineStr">
        <is>
          <t>S-007</t>
        </is>
      </c>
      <c r="I17" s="43" t="inlineStr">
        <is>
          <t>Released for Fabrication</t>
        </is>
      </c>
      <c r="J17" s="47" t="inlineStr"/>
      <c r="K17" s="2" t="n"/>
      <c r="L17" s="2" t="n"/>
    </row>
    <row r="18" ht="15" customHeight="1">
      <c r="A18" s="2" t="n"/>
      <c r="B18" s="40" t="inlineStr">
        <is>
          <t>Main Steel - Bldg. 1</t>
        </is>
      </c>
      <c r="C18" s="40" t="inlineStr">
        <is>
          <t>Structural</t>
        </is>
      </c>
      <c r="D18" s="41" t="inlineStr">
        <is>
          <t>1</t>
        </is>
      </c>
      <c r="E18" s="42" t="n">
        <v>12</v>
      </c>
      <c r="F18" s="51" t="inlineStr">
        <is>
          <t>Pending review</t>
        </is>
      </c>
      <c r="G18" s="44" t="inlineStr">
        <is>
          <t>✓</t>
        </is>
      </c>
      <c r="H18" s="41" t="inlineStr">
        <is>
          <t>S-010</t>
        </is>
      </c>
      <c r="I18" s="43" t="inlineStr">
        <is>
          <t>Released for Fabrication</t>
        </is>
      </c>
      <c r="J18" s="41" t="inlineStr"/>
      <c r="K18" s="2" t="n"/>
      <c r="L18" s="2" t="n"/>
    </row>
    <row r="19" ht="15" customHeight="1">
      <c r="A19" s="2" t="n"/>
      <c r="B19" s="46" t="inlineStr">
        <is>
          <t>Wedge Canopy Mockups</t>
        </is>
      </c>
      <c r="C19" s="46" t="inlineStr">
        <is>
          <t>Misc Metals</t>
        </is>
      </c>
      <c r="D19" s="47" t="inlineStr">
        <is>
          <t>A</t>
        </is>
      </c>
      <c r="E19" s="48" t="n">
        <v>3</v>
      </c>
      <c r="F19" s="43" t="inlineStr">
        <is>
          <t>Approved</t>
        </is>
      </c>
      <c r="G19" s="49" t="inlineStr"/>
      <c r="H19" s="47" t="inlineStr"/>
      <c r="I19" s="50" t="inlineStr"/>
      <c r="J19" s="47" t="inlineStr"/>
      <c r="K19" s="2" t="n"/>
      <c r="L19" s="2" t="n"/>
    </row>
    <row r="20" ht="15" customHeight="1">
      <c r="A20" s="2" t="n"/>
      <c r="B20" s="40" t="inlineStr">
        <is>
          <t>Joists &amp; Deck</t>
        </is>
      </c>
      <c r="C20" s="40" t="inlineStr">
        <is>
          <t>Structural</t>
        </is>
      </c>
      <c r="D20" s="41" t="inlineStr">
        <is>
          <t>1</t>
        </is>
      </c>
      <c r="E20" s="42" t="n">
        <v>6</v>
      </c>
      <c r="F20" s="51" t="inlineStr">
        <is>
          <t>Pending review</t>
        </is>
      </c>
      <c r="G20" s="44" t="inlineStr">
        <is>
          <t>✓</t>
        </is>
      </c>
      <c r="H20" s="41" t="inlineStr">
        <is>
          <t>S-012</t>
        </is>
      </c>
      <c r="I20" s="43" t="inlineStr">
        <is>
          <t>Released for Fabrication</t>
        </is>
      </c>
      <c r="J20" s="41" t="inlineStr">
        <is>
          <t>Owner</t>
        </is>
      </c>
      <c r="K20" s="2" t="n"/>
      <c r="L20" s="2" t="n"/>
    </row>
    <row r="21">
      <c r="A21" s="2" t="n"/>
      <c r="B21" s="2" t="n"/>
      <c r="C21" s="2" t="n"/>
      <c r="D21" s="2" t="n"/>
      <c r="E21" s="2" t="n"/>
      <c r="F21" s="2" t="n"/>
      <c r="G21" s="2" t="n"/>
      <c r="H21" s="2" t="n"/>
      <c r="I21" s="2" t="n"/>
      <c r="J21" s="2" t="n"/>
      <c r="K21" s="2" t="n"/>
      <c r="L21" s="2" t="n"/>
    </row>
    <row r="22" ht="22" customHeight="1">
      <c r="A22" s="2" t="n"/>
      <c r="B22" s="9" t="inlineStr">
        <is>
          <t>OPEN RFIs AFFECTING DETAILING</t>
        </is>
      </c>
      <c r="C22" s="2" t="n"/>
      <c r="D22" s="2" t="n"/>
      <c r="E22" s="2" t="n"/>
      <c r="F22" s="2" t="n"/>
      <c r="G22" s="2" t="n"/>
      <c r="H22" s="2" t="n"/>
      <c r="I22" s="2" t="n"/>
      <c r="J22" s="2" t="n"/>
      <c r="K22" s="2" t="n"/>
      <c r="L22" s="2" t="n"/>
    </row>
    <row r="23" ht="26" customHeight="1">
      <c r="A23" s="2" t="n"/>
      <c r="B23" s="38" t="inlineStr">
        <is>
          <t>RFI #</t>
        </is>
      </c>
      <c r="C23" s="38" t="inlineStr">
        <is>
          <t>Subject</t>
        </is>
      </c>
      <c r="D23" s="38" t="inlineStr">
        <is>
          <t>Status</t>
        </is>
      </c>
      <c r="E23" s="39" t="inlineStr">
        <is>
          <t>Ball in Court</t>
        </is>
      </c>
      <c r="F23" s="39" t="inlineStr">
        <is>
          <t>Sched</t>
        </is>
      </c>
      <c r="G23" s="38" t="inlineStr">
        <is>
          <t>Assigned</t>
        </is>
      </c>
      <c r="H23" s="2" t="n"/>
      <c r="I23" s="2" t="n"/>
      <c r="J23" s="2" t="n"/>
      <c r="K23" s="2" t="n"/>
      <c r="L23" s="2" t="n"/>
    </row>
    <row r="24" ht="15" customHeight="1">
      <c r="A24" s="2" t="n"/>
      <c r="B24" s="40" t="inlineStr">
        <is>
          <t>RFI #032</t>
        </is>
      </c>
      <c r="C24" s="40" t="inlineStr">
        <is>
          <t>Stair 2 Tread, Mid-Landing Arrangement &amp; Guardrail Clarification</t>
        </is>
      </c>
      <c r="D24" s="52" t="inlineStr">
        <is>
          <t>Incomplete Response</t>
        </is>
      </c>
      <c r="E24" s="41" t="inlineStr">
        <is>
          <t>GC</t>
        </is>
      </c>
      <c r="F24" s="44" t="inlineStr"/>
      <c r="G24" s="40" t="inlineStr">
        <is>
          <t>LGE</t>
        </is>
      </c>
      <c r="H24" s="2" t="n"/>
      <c r="I24" s="2" t="n"/>
      <c r="J24" s="2" t="n"/>
      <c r="K24" s="2" t="n"/>
      <c r="L24" s="2" t="n"/>
    </row>
    <row r="25" ht="15" customHeight="1">
      <c r="A25" s="2" t="n"/>
      <c r="B25" s="46" t="inlineStr">
        <is>
          <t>RFI #048</t>
        </is>
      </c>
      <c r="C25" s="46" t="inlineStr">
        <is>
          <t>Regarding main steel BFA post review query of building-1</t>
        </is>
      </c>
      <c r="D25" s="52" t="inlineStr">
        <is>
          <t>Incomplete Response</t>
        </is>
      </c>
      <c r="E25" s="47" t="inlineStr">
        <is>
          <t>GC</t>
        </is>
      </c>
      <c r="F25" s="49" t="inlineStr"/>
      <c r="G25" s="46" t="inlineStr">
        <is>
          <t>LGE</t>
        </is>
      </c>
      <c r="H25" s="2" t="n"/>
      <c r="I25" s="2" t="n"/>
      <c r="J25" s="2" t="n"/>
      <c r="K25" s="2" t="n"/>
      <c r="L25" s="2" t="n"/>
    </row>
    <row r="26" ht="15" customHeight="1">
      <c r="A26" s="2" t="n"/>
      <c r="B26" s="40" t="inlineStr">
        <is>
          <t>RFI #053</t>
        </is>
      </c>
      <c r="C26" s="40" t="inlineStr">
        <is>
          <t>Door Jamb Post Install</t>
        </is>
      </c>
      <c r="D26" s="51" t="inlineStr">
        <is>
          <t>Under Review</t>
        </is>
      </c>
      <c r="E26" s="41" t="inlineStr">
        <is>
          <t>GC</t>
        </is>
      </c>
      <c r="F26" s="44" t="inlineStr"/>
      <c r="G26" s="40" t="inlineStr">
        <is>
          <t>LGE</t>
        </is>
      </c>
      <c r="H26" s="2" t="n"/>
      <c r="I26" s="2" t="n"/>
      <c r="J26" s="2" t="n"/>
      <c r="K26" s="2" t="n"/>
      <c r="L26" s="2" t="n"/>
    </row>
    <row r="27" ht="15" customHeight="1">
      <c r="A27" s="2" t="n"/>
      <c r="B27" s="46" t="inlineStr">
        <is>
          <t>RFI #060</t>
        </is>
      </c>
      <c r="C27" s="46" t="inlineStr">
        <is>
          <t>Regarding hangar door post brace support arrangement at building-2.</t>
        </is>
      </c>
      <c r="D27" s="51" t="inlineStr">
        <is>
          <t>Under Review</t>
        </is>
      </c>
      <c r="E27" s="47" t="inlineStr">
        <is>
          <t>GC</t>
        </is>
      </c>
      <c r="F27" s="49" t="inlineStr">
        <is>
          <t>✓</t>
        </is>
      </c>
      <c r="G27" s="46" t="inlineStr">
        <is>
          <t>LGE</t>
        </is>
      </c>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sheetData>
  <autoFilter ref="B23:G27"/>
  <mergeCells count="6">
    <mergeCell ref="B3:J3"/>
    <mergeCell ref="B22:J22"/>
    <mergeCell ref="A1:L1"/>
    <mergeCell ref="B4:J4"/>
    <mergeCell ref="B6:J6"/>
    <mergeCell ref="B2:J2"/>
  </mergeCells>
  <pageMargins left="0.75" right="0.75" top="1" bottom="1" header="0.5" footer="0.5"/>
</worksheet>
</file>

<file path=xl/worksheets/sheet4.xml><?xml version="1.0" encoding="utf-8"?>
<worksheet xmlns="http://schemas.openxmlformats.org/spreadsheetml/2006/main">
  <sheetPr>
    <tabColor rgb="001F2937"/>
    <outlinePr summaryBelow="1" summaryRight="1"/>
    <pageSetUpPr/>
  </sheetPr>
  <dimension ref="A1:M2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13" customWidth="1" min="3" max="3"/>
    <col width="6" customWidth="1" min="4" max="4"/>
    <col width="10" customWidth="1" min="5" max="5"/>
    <col width="16" customWidth="1" min="6" max="6"/>
    <col width="8" customWidth="1" min="7" max="7"/>
    <col width="8" customWidth="1" min="8" max="8"/>
    <col width="12" customWidth="1" min="9" max="9"/>
    <col width="42" customWidth="1" min="10" max="10"/>
    <col width="2.4" customWidth="1" min="12" max="12"/>
    <col width="2.4" customWidth="1" min="13" max="13"/>
  </cols>
  <sheetData>
    <row r="1">
      <c r="A1" s="1" t="n"/>
      <c r="B1" s="2" t="n"/>
      <c r="C1" s="2" t="n"/>
      <c r="D1" s="2" t="n"/>
      <c r="E1" s="2" t="n"/>
      <c r="F1" s="2" t="n"/>
      <c r="G1" s="2" t="n"/>
      <c r="H1" s="2" t="n"/>
      <c r="I1" s="2" t="n"/>
      <c r="J1" s="2" t="n"/>
      <c r="K1" s="2" t="n"/>
      <c r="L1" s="2" t="n"/>
      <c r="M1" s="2" t="n"/>
    </row>
    <row r="2" ht="30" customHeight="1">
      <c r="A2" s="2" t="n"/>
      <c r="B2" s="22" t="inlineStr">
        <is>
          <t>Drawing Sets</t>
        </is>
      </c>
      <c r="C2" s="2" t="n"/>
      <c r="D2" s="2" t="n"/>
      <c r="E2" s="2" t="n"/>
      <c r="F2" s="2" t="n"/>
      <c r="G2" s="2" t="n"/>
      <c r="H2" s="2" t="n"/>
      <c r="I2" s="2" t="n"/>
      <c r="J2" s="2" t="n"/>
      <c r="K2" s="2" t="n"/>
      <c r="L2" s="2" t="n"/>
      <c r="M2" s="2" t="n"/>
    </row>
    <row r="3" ht="18" customHeight="1">
      <c r="A3" s="2" t="n"/>
      <c r="B3" s="23" t="inlineStr">
        <is>
          <t>13 packages · tracked at the set level, not the sheet</t>
        </is>
      </c>
      <c r="C3" s="2" t="n"/>
      <c r="D3" s="2" t="n"/>
      <c r="E3" s="2" t="n"/>
      <c r="F3" s="2" t="n"/>
      <c r="G3" s="2" t="n"/>
      <c r="H3" s="2" t="n"/>
      <c r="I3" s="2" t="n"/>
      <c r="J3" s="2" t="n"/>
      <c r="K3" s="2" t="n"/>
      <c r="L3" s="2" t="n"/>
      <c r="M3" s="2" t="n"/>
    </row>
    <row r="4" ht="3" customHeight="1">
      <c r="A4" s="2" t="n"/>
      <c r="B4" s="5"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ht="26" customHeight="1">
      <c r="A6" s="2" t="n"/>
      <c r="B6" s="38" t="inlineStr">
        <is>
          <t>Set Name</t>
        </is>
      </c>
      <c r="C6" s="38" t="inlineStr">
        <is>
          <t>Discipline</t>
        </is>
      </c>
      <c r="D6" s="39" t="inlineStr">
        <is>
          <t>Rev</t>
        </is>
      </c>
      <c r="E6" s="38" t="inlineStr">
        <is>
          <t>Status</t>
        </is>
      </c>
      <c r="F6" s="38" t="inlineStr">
        <is>
          <t>Approval</t>
        </is>
      </c>
      <c r="G6" s="39" t="inlineStr">
        <is>
          <t>Locked</t>
        </is>
      </c>
      <c r="H6" s="39" t="inlineStr">
        <is>
          <t>Sheets</t>
        </is>
      </c>
      <c r="I6" s="39" t="inlineStr">
        <is>
          <t>Issued</t>
        </is>
      </c>
      <c r="J6" s="38" t="inlineStr">
        <is>
          <t>Lock Reason</t>
        </is>
      </c>
      <c r="K6" s="2" t="n"/>
      <c r="L6" s="2" t="n"/>
      <c r="M6" s="2" t="n"/>
    </row>
    <row r="7" ht="15" customHeight="1">
      <c r="A7" s="2" t="n"/>
      <c r="B7" s="40" t="inlineStr">
        <is>
          <t>Panel Embeds - Bldg. 2</t>
        </is>
      </c>
      <c r="C7" s="40" t="inlineStr">
        <is>
          <t>Structural</t>
        </is>
      </c>
      <c r="D7" s="41" t="inlineStr">
        <is>
          <t>A</t>
        </is>
      </c>
      <c r="E7" s="43" t="inlineStr">
        <is>
          <t>Active</t>
        </is>
      </c>
      <c r="F7" s="43" t="inlineStr">
        <is>
          <t>Approved</t>
        </is>
      </c>
      <c r="G7" s="44" t="inlineStr">
        <is>
          <t>✓</t>
        </is>
      </c>
      <c r="H7" s="42" t="n">
        <v>37</v>
      </c>
      <c r="I7" s="53" t="n">
        <v>46094</v>
      </c>
      <c r="J7" s="40" t="inlineStr">
        <is>
          <t>Auto-locked: submittal S-011 reached "Approved as Noted"</t>
        </is>
      </c>
      <c r="K7" s="2" t="n"/>
      <c r="L7" s="2" t="n"/>
      <c r="M7" s="2" t="n"/>
    </row>
    <row r="8" ht="15" customHeight="1">
      <c r="A8" s="2" t="n"/>
      <c r="B8" s="46" t="inlineStr">
        <is>
          <t>Balcony Rail - Bldg. 1</t>
        </is>
      </c>
      <c r="C8" s="46" t="inlineStr">
        <is>
          <t>Structural</t>
        </is>
      </c>
      <c r="D8" s="47" t="inlineStr">
        <is>
          <t>A</t>
        </is>
      </c>
      <c r="E8" s="43" t="inlineStr">
        <is>
          <t>Active</t>
        </is>
      </c>
      <c r="F8" s="43" t="inlineStr">
        <is>
          <t>Approved</t>
        </is>
      </c>
      <c r="G8" s="49" t="inlineStr">
        <is>
          <t>✓</t>
        </is>
      </c>
      <c r="H8" s="48" t="n">
        <v>2</v>
      </c>
      <c r="I8" s="54" t="n">
        <v>46104</v>
      </c>
      <c r="J8" s="46" t="inlineStr">
        <is>
          <t>Auto-locked: submittal S-011 reached "Approved as Noted"</t>
        </is>
      </c>
      <c r="K8" s="2" t="n"/>
      <c r="L8" s="2" t="n"/>
      <c r="M8" s="2" t="n"/>
    </row>
    <row r="9" ht="15" customHeight="1">
      <c r="A9" s="2" t="n"/>
      <c r="B9" s="40" t="inlineStr">
        <is>
          <t>Stairs - Bldg 1</t>
        </is>
      </c>
      <c r="C9" s="40" t="inlineStr">
        <is>
          <t>Misc Metals</t>
        </is>
      </c>
      <c r="D9" s="41" t="inlineStr">
        <is>
          <t>A</t>
        </is>
      </c>
      <c r="E9" s="43" t="inlineStr">
        <is>
          <t>Active</t>
        </is>
      </c>
      <c r="F9" s="43" t="inlineStr">
        <is>
          <t>Approved</t>
        </is>
      </c>
      <c r="G9" s="44" t="inlineStr">
        <is>
          <t>✓</t>
        </is>
      </c>
      <c r="H9" s="42" t="n">
        <v>13</v>
      </c>
      <c r="I9" s="53" t="n">
        <v>46104</v>
      </c>
      <c r="J9" s="40" t="inlineStr">
        <is>
          <t>Auto-locked: submittal S-004 reached "Approved as Noted"</t>
        </is>
      </c>
      <c r="K9" s="2" t="n"/>
      <c r="L9" s="2" t="n"/>
      <c r="M9" s="2" t="n"/>
    </row>
    <row r="10" ht="15" customHeight="1">
      <c r="A10" s="2" t="n"/>
      <c r="B10" s="46" t="inlineStr">
        <is>
          <t>Main Steel - Bldg. 2</t>
        </is>
      </c>
      <c r="C10" s="46" t="inlineStr">
        <is>
          <t>Structural</t>
        </is>
      </c>
      <c r="D10" s="47" t="inlineStr">
        <is>
          <t>A</t>
        </is>
      </c>
      <c r="E10" s="43" t="inlineStr">
        <is>
          <t>Active</t>
        </is>
      </c>
      <c r="F10" s="43" t="inlineStr">
        <is>
          <t>Approved</t>
        </is>
      </c>
      <c r="G10" s="49" t="inlineStr">
        <is>
          <t>✓</t>
        </is>
      </c>
      <c r="H10" s="48" t="n">
        <v>24</v>
      </c>
      <c r="I10" s="54" t="n">
        <v>46112</v>
      </c>
      <c r="J10" s="46" t="inlineStr">
        <is>
          <t>Auto-locked: submittal S-009 reached "Released for Fabrication"</t>
        </is>
      </c>
      <c r="K10" s="2" t="n"/>
      <c r="L10" s="2" t="n"/>
      <c r="M10" s="2" t="n"/>
    </row>
    <row r="11" ht="15" customHeight="1">
      <c r="A11" s="2" t="n"/>
      <c r="B11" s="40" t="inlineStr">
        <is>
          <t>Balcony Rail - Bldg. 2</t>
        </is>
      </c>
      <c r="C11" s="40" t="inlineStr">
        <is>
          <t>Misc Metals</t>
        </is>
      </c>
      <c r="D11" s="41" t="inlineStr">
        <is>
          <t>A</t>
        </is>
      </c>
      <c r="E11" s="43" t="inlineStr">
        <is>
          <t>Active</t>
        </is>
      </c>
      <c r="F11" s="43" t="inlineStr">
        <is>
          <t>Approved</t>
        </is>
      </c>
      <c r="G11" s="44" t="inlineStr">
        <is>
          <t>✓</t>
        </is>
      </c>
      <c r="H11" s="42" t="n">
        <v>11</v>
      </c>
      <c r="I11" s="53" t="n">
        <v>46112</v>
      </c>
      <c r="J11" s="40" t="inlineStr">
        <is>
          <t>Auto-locked: submittal S-001 reached "Approved as Noted"</t>
        </is>
      </c>
      <c r="K11" s="2" t="n"/>
      <c r="L11" s="2" t="n"/>
      <c r="M11" s="2" t="n"/>
    </row>
    <row r="12" ht="15" customHeight="1">
      <c r="A12" s="2" t="n"/>
      <c r="B12" s="46" t="inlineStr">
        <is>
          <t>Site Misc. Steel</t>
        </is>
      </c>
      <c r="C12" s="46" t="inlineStr">
        <is>
          <t>Misc Metals</t>
        </is>
      </c>
      <c r="D12" s="47" t="inlineStr">
        <is>
          <t>A</t>
        </is>
      </c>
      <c r="E12" s="43" t="inlineStr">
        <is>
          <t>Active</t>
        </is>
      </c>
      <c r="F12" s="43" t="inlineStr">
        <is>
          <t>Approved</t>
        </is>
      </c>
      <c r="G12" s="49" t="inlineStr">
        <is>
          <t>✓</t>
        </is>
      </c>
      <c r="H12" s="48" t="n">
        <v>13</v>
      </c>
      <c r="I12" s="54" t="n">
        <v>46112</v>
      </c>
      <c r="J12" s="46" t="inlineStr">
        <is>
          <t>Auto-locked: submittal S-002 reached "Approved as Noted"</t>
        </is>
      </c>
      <c r="K12" s="2" t="n"/>
      <c r="L12" s="2" t="n"/>
      <c r="M12" s="2" t="n"/>
    </row>
    <row r="13" ht="15" customHeight="1">
      <c r="A13" s="2" t="n"/>
      <c r="B13" s="40" t="inlineStr">
        <is>
          <t>Anchor Bolts - Bldg. 1 &amp; 2</t>
        </is>
      </c>
      <c r="C13" s="40" t="inlineStr">
        <is>
          <t>Structural</t>
        </is>
      </c>
      <c r="D13" s="41" t="inlineStr">
        <is>
          <t>1</t>
        </is>
      </c>
      <c r="E13" s="43" t="inlineStr">
        <is>
          <t>Active</t>
        </is>
      </c>
      <c r="F13" s="43" t="inlineStr">
        <is>
          <t>Approved</t>
        </is>
      </c>
      <c r="G13" s="44" t="inlineStr">
        <is>
          <t>✓</t>
        </is>
      </c>
      <c r="H13" s="42" t="n">
        <v>13</v>
      </c>
      <c r="I13" s="53" t="n">
        <v>46114</v>
      </c>
      <c r="J13" s="40" t="inlineStr">
        <is>
          <t>Auto-locked: submittal S-006 reached "Released for Fabrication"</t>
        </is>
      </c>
      <c r="K13" s="2" t="n"/>
      <c r="L13" s="2" t="n"/>
      <c r="M13" s="2" t="n"/>
    </row>
    <row r="14" ht="15" customHeight="1">
      <c r="A14" s="2" t="n"/>
      <c r="B14" s="46" t="inlineStr">
        <is>
          <t>Ladders - Bldg. 1 &amp; 2</t>
        </is>
      </c>
      <c r="C14" s="46" t="inlineStr">
        <is>
          <t>Misc Metals</t>
        </is>
      </c>
      <c r="D14" s="47" t="inlineStr">
        <is>
          <t>A</t>
        </is>
      </c>
      <c r="E14" s="43" t="inlineStr">
        <is>
          <t>Active</t>
        </is>
      </c>
      <c r="F14" s="50" t="inlineStr"/>
      <c r="G14" s="49" t="inlineStr"/>
      <c r="H14" s="48" t="n">
        <v>4</v>
      </c>
      <c r="I14" s="54" t="n">
        <v>46120</v>
      </c>
      <c r="J14" s="46" t="inlineStr"/>
      <c r="K14" s="2" t="n"/>
      <c r="L14" s="2" t="n"/>
      <c r="M14" s="2" t="n"/>
    </row>
    <row r="15" ht="15" customHeight="1">
      <c r="A15" s="2" t="n"/>
      <c r="B15" s="40" t="inlineStr">
        <is>
          <t>Stairs - Bldg. 2</t>
        </is>
      </c>
      <c r="C15" s="40" t="inlineStr">
        <is>
          <t>Misc Metals</t>
        </is>
      </c>
      <c r="D15" s="41" t="inlineStr">
        <is>
          <t>A</t>
        </is>
      </c>
      <c r="E15" s="43" t="inlineStr">
        <is>
          <t>Active</t>
        </is>
      </c>
      <c r="F15" s="43" t="inlineStr">
        <is>
          <t>Approved</t>
        </is>
      </c>
      <c r="G15" s="44" t="inlineStr">
        <is>
          <t>✓</t>
        </is>
      </c>
      <c r="H15" s="42" t="n">
        <v>6</v>
      </c>
      <c r="I15" s="53" t="n">
        <v>46120</v>
      </c>
      <c r="J15" s="40" t="inlineStr">
        <is>
          <t>Auto-locked: submittal S-005 reached "Approved as Noted"</t>
        </is>
      </c>
      <c r="K15" s="2" t="n"/>
      <c r="L15" s="2" t="n"/>
      <c r="M15" s="2" t="n"/>
    </row>
    <row r="16" ht="15" customHeight="1">
      <c r="A16" s="2" t="n"/>
      <c r="B16" s="46" t="inlineStr">
        <is>
          <t>Panel Embeds - Bldg. 1</t>
        </is>
      </c>
      <c r="C16" s="46" t="inlineStr">
        <is>
          <t>Structural</t>
        </is>
      </c>
      <c r="D16" s="47" t="inlineStr">
        <is>
          <t>1</t>
        </is>
      </c>
      <c r="E16" s="43" t="inlineStr">
        <is>
          <t>Active</t>
        </is>
      </c>
      <c r="F16" s="43" t="inlineStr">
        <is>
          <t>Approved</t>
        </is>
      </c>
      <c r="G16" s="49" t="inlineStr">
        <is>
          <t>✓</t>
        </is>
      </c>
      <c r="H16" s="48" t="n">
        <v>17</v>
      </c>
      <c r="I16" s="54" t="n">
        <v>46153</v>
      </c>
      <c r="J16" s="46" t="inlineStr">
        <is>
          <t>Auto-locked: submittal S-007 reached "Released for Fabrication"</t>
        </is>
      </c>
      <c r="K16" s="2" t="n"/>
      <c r="L16" s="2" t="n"/>
      <c r="M16" s="2" t="n"/>
    </row>
    <row r="17" ht="15" customHeight="1">
      <c r="A17" s="2" t="n"/>
      <c r="B17" s="40" t="inlineStr">
        <is>
          <t>Main Steel - Bldg. 1</t>
        </is>
      </c>
      <c r="C17" s="40" t="inlineStr">
        <is>
          <t>Structural</t>
        </is>
      </c>
      <c r="D17" s="41" t="inlineStr">
        <is>
          <t>1</t>
        </is>
      </c>
      <c r="E17" s="43" t="inlineStr">
        <is>
          <t>Active</t>
        </is>
      </c>
      <c r="F17" s="51" t="inlineStr">
        <is>
          <t>Pending review</t>
        </is>
      </c>
      <c r="G17" s="44" t="inlineStr">
        <is>
          <t>✓</t>
        </is>
      </c>
      <c r="H17" s="42" t="n">
        <v>12</v>
      </c>
      <c r="I17" s="53" t="n">
        <v>46162</v>
      </c>
      <c r="J17" s="40" t="inlineStr">
        <is>
          <t>Auto-locked: submittal S-010 reached "Released for Fabrication"</t>
        </is>
      </c>
      <c r="K17" s="2" t="n"/>
      <c r="L17" s="2" t="n"/>
      <c r="M17" s="2" t="n"/>
    </row>
    <row r="18" ht="15" customHeight="1">
      <c r="A18" s="2" t="n"/>
      <c r="B18" s="46" t="inlineStr">
        <is>
          <t>Wedge Canopy Mockups</t>
        </is>
      </c>
      <c r="C18" s="46" t="inlineStr">
        <is>
          <t>Misc Metals</t>
        </is>
      </c>
      <c r="D18" s="47" t="inlineStr">
        <is>
          <t>A</t>
        </is>
      </c>
      <c r="E18" s="43" t="inlineStr">
        <is>
          <t>Active</t>
        </is>
      </c>
      <c r="F18" s="43" t="inlineStr">
        <is>
          <t>Approved</t>
        </is>
      </c>
      <c r="G18" s="49" t="inlineStr"/>
      <c r="H18" s="48" t="n">
        <v>3</v>
      </c>
      <c r="I18" s="54" t="n">
        <v>46169</v>
      </c>
      <c r="J18" s="46" t="inlineStr"/>
      <c r="K18" s="2" t="n"/>
      <c r="L18" s="2" t="n"/>
      <c r="M18" s="2" t="n"/>
    </row>
    <row r="19" ht="15" customHeight="1">
      <c r="A19" s="2" t="n"/>
      <c r="B19" s="40" t="inlineStr">
        <is>
          <t>Joists &amp; Deck</t>
        </is>
      </c>
      <c r="C19" s="40" t="inlineStr">
        <is>
          <t>Structural</t>
        </is>
      </c>
      <c r="D19" s="41" t="inlineStr">
        <is>
          <t>1</t>
        </is>
      </c>
      <c r="E19" s="43" t="inlineStr">
        <is>
          <t>Active</t>
        </is>
      </c>
      <c r="F19" s="51" t="inlineStr">
        <is>
          <t>Pending review</t>
        </is>
      </c>
      <c r="G19" s="44" t="inlineStr">
        <is>
          <t>✓</t>
        </is>
      </c>
      <c r="H19" s="42" t="n">
        <v>6</v>
      </c>
      <c r="I19" s="53" t="n">
        <v>46191</v>
      </c>
      <c r="J19" s="40" t="inlineStr">
        <is>
          <t>Auto-locked: submittal S-012 reached "Released for Fabrication"</t>
        </is>
      </c>
      <c r="K19" s="2" t="n"/>
      <c r="L19" s="2" t="n"/>
      <c r="M19" s="2" t="n"/>
    </row>
    <row r="20">
      <c r="A20" s="2" t="n"/>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sheetData>
  <autoFilter ref="B6:J19"/>
  <mergeCells count="4">
    <mergeCell ref="B4:K4"/>
    <mergeCell ref="B3:K3"/>
    <mergeCell ref="A1:M1"/>
    <mergeCell ref="B2:K2"/>
  </mergeCells>
  <pageMargins left="0.75" right="0.75" top="1" bottom="1" header="0.5" footer="0.5"/>
</worksheet>
</file>

<file path=xl/worksheets/sheet5.xml><?xml version="1.0" encoding="utf-8"?>
<worksheet xmlns="http://schemas.openxmlformats.org/spreadsheetml/2006/main">
  <sheetPr>
    <tabColor rgb="001F2937"/>
    <outlinePr summaryBelow="1" summaryRight="1"/>
    <pageSetUpPr/>
  </sheetPr>
  <dimension ref="A1:O17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36" customWidth="1" min="3" max="3"/>
    <col width="13" customWidth="1" min="4" max="4"/>
    <col width="6" customWidth="1" min="5" max="5"/>
    <col width="12" customWidth="1" min="6" max="6"/>
    <col width="22" customWidth="1" min="7" max="7"/>
    <col width="11" customWidth="1" min="8" max="8"/>
    <col width="11" customWidth="1" min="9" max="9"/>
    <col width="11" customWidth="1" min="10" max="10"/>
    <col width="6" customWidth="1" min="11" max="11"/>
    <col width="2.4" customWidth="1" min="14" max="14"/>
    <col width="2.4" customWidth="1" min="15" max="15"/>
  </cols>
  <sheetData>
    <row r="1">
      <c r="A1" s="1" t="n"/>
      <c r="B1" s="2" t="n"/>
      <c r="C1" s="2" t="n"/>
      <c r="D1" s="2" t="n"/>
      <c r="E1" s="2" t="n"/>
      <c r="F1" s="2" t="n"/>
      <c r="G1" s="2" t="n"/>
      <c r="H1" s="2" t="n"/>
      <c r="I1" s="2" t="n"/>
      <c r="J1" s="2" t="n"/>
      <c r="K1" s="2" t="n"/>
      <c r="L1" s="2" t="n"/>
      <c r="M1" s="2" t="n"/>
      <c r="N1" s="2" t="n"/>
      <c r="O1" s="2" t="n"/>
    </row>
    <row r="2" ht="30" customHeight="1">
      <c r="A2" s="2" t="n"/>
      <c r="B2" s="22" t="inlineStr">
        <is>
          <t>Drawings</t>
        </is>
      </c>
      <c r="C2" s="2" t="n"/>
      <c r="D2" s="2" t="n"/>
      <c r="E2" s="2" t="n"/>
      <c r="F2" s="2" t="n"/>
      <c r="G2" s="2" t="n"/>
      <c r="H2" s="2" t="n"/>
      <c r="I2" s="2" t="n"/>
      <c r="J2" s="2" t="n"/>
      <c r="K2" s="2" t="n"/>
      <c r="L2" s="2" t="n"/>
      <c r="M2" s="2" t="n"/>
      <c r="N2" s="2" t="n"/>
      <c r="O2" s="2" t="n"/>
    </row>
    <row r="3" ht="18" customHeight="1">
      <c r="A3" s="2" t="n"/>
      <c r="B3" s="23" t="inlineStr">
        <is>
          <t>162 sheets · 129 released for fabrication</t>
        </is>
      </c>
      <c r="C3" s="2" t="n"/>
      <c r="D3" s="2" t="n"/>
      <c r="E3" s="2" t="n"/>
      <c r="F3" s="2" t="n"/>
      <c r="G3" s="2" t="n"/>
      <c r="H3" s="2" t="n"/>
      <c r="I3" s="2" t="n"/>
      <c r="J3" s="2" t="n"/>
      <c r="K3" s="2" t="n"/>
      <c r="L3" s="2" t="n"/>
      <c r="M3" s="2" t="n"/>
      <c r="N3" s="2" t="n"/>
      <c r="O3" s="2" t="n"/>
    </row>
    <row r="4" ht="3" customHeight="1">
      <c r="A4" s="2" t="n"/>
      <c r="B4" s="5" t="n"/>
      <c r="C4" s="2" t="n"/>
      <c r="D4" s="2" t="n"/>
      <c r="E4" s="2" t="n"/>
      <c r="F4" s="2" t="n"/>
      <c r="G4" s="2" t="n"/>
      <c r="H4" s="2" t="n"/>
      <c r="I4" s="2" t="n"/>
      <c r="J4" s="2" t="n"/>
      <c r="K4" s="2" t="n"/>
      <c r="L4" s="2" t="n"/>
      <c r="M4" s="2" t="n"/>
      <c r="N4" s="2" t="n"/>
      <c r="O4" s="2" t="n"/>
    </row>
    <row r="5">
      <c r="A5" s="2" t="n"/>
      <c r="B5" s="2" t="n"/>
      <c r="C5" s="2" t="n"/>
      <c r="D5" s="2" t="n"/>
      <c r="E5" s="2" t="n"/>
      <c r="F5" s="2" t="n"/>
      <c r="G5" s="2" t="n"/>
      <c r="H5" s="2" t="n"/>
      <c r="I5" s="2" t="n"/>
      <c r="J5" s="2" t="n"/>
      <c r="K5" s="2" t="n"/>
      <c r="L5" s="2" t="n"/>
      <c r="M5" s="2" t="n"/>
      <c r="N5" s="2" t="n"/>
      <c r="O5" s="2" t="n"/>
    </row>
    <row r="6" ht="26" customHeight="1">
      <c r="A6" s="2" t="n"/>
      <c r="B6" s="38" t="inlineStr">
        <is>
          <t>Sheet #</t>
        </is>
      </c>
      <c r="C6" s="38" t="inlineStr">
        <is>
          <t>Title</t>
        </is>
      </c>
      <c r="D6" s="38" t="inlineStr">
        <is>
          <t>Discipline</t>
        </is>
      </c>
      <c r="E6" s="39" t="inlineStr">
        <is>
          <t>Rev</t>
        </is>
      </c>
      <c r="F6" s="38" t="inlineStr">
        <is>
          <t>Stage</t>
        </is>
      </c>
      <c r="G6" s="38" t="inlineStr">
        <is>
          <t>Drawing Set</t>
        </is>
      </c>
      <c r="H6" s="39" t="inlineStr">
        <is>
          <t>Submitted</t>
        </is>
      </c>
      <c r="I6" s="39" t="inlineStr">
        <is>
          <t>Returned</t>
        </is>
      </c>
      <c r="J6" s="39" t="inlineStr">
        <is>
          <t>Superseded</t>
        </is>
      </c>
      <c r="K6" s="39" t="inlineStr">
        <is>
          <t>RFIs</t>
        </is>
      </c>
      <c r="L6" s="2" t="n"/>
      <c r="M6" s="2" t="n"/>
      <c r="N6" s="2" t="n"/>
      <c r="O6" s="2" t="n"/>
    </row>
    <row r="7" ht="15" customHeight="1">
      <c r="A7" s="2" t="n"/>
      <c r="B7" s="40" t="inlineStr">
        <is>
          <t>101ABP101</t>
        </is>
      </c>
      <c r="C7" s="40" t="inlineStr">
        <is>
          <t>ANCHOR BOLT LAYOUT PLAN @ BLDG.1</t>
        </is>
      </c>
      <c r="D7" s="40" t="inlineStr">
        <is>
          <t>Structural</t>
        </is>
      </c>
      <c r="E7" s="41" t="inlineStr">
        <is>
          <t>1</t>
        </is>
      </c>
      <c r="F7" s="43" t="inlineStr">
        <is>
          <t>Released</t>
        </is>
      </c>
      <c r="G7" s="40" t="inlineStr">
        <is>
          <t>Anchor Bolts - Bldg. 1 &amp; 2</t>
        </is>
      </c>
      <c r="H7" s="53" t="n">
        <v>46077</v>
      </c>
      <c r="I7" s="53" t="n">
        <v>46114</v>
      </c>
      <c r="J7" s="41" t="inlineStr">
        <is>
          <t>No</t>
        </is>
      </c>
      <c r="K7" s="41" t="n">
        <v>0</v>
      </c>
      <c r="L7" s="2" t="n"/>
      <c r="M7" s="2" t="n"/>
      <c r="N7" s="2" t="n"/>
      <c r="O7" s="2" t="n"/>
    </row>
    <row r="8" ht="15" customHeight="1">
      <c r="A8" s="2" t="n"/>
      <c r="B8" s="46" t="inlineStr">
        <is>
          <t>101E101</t>
        </is>
      </c>
      <c r="C8" s="46" t="inlineStr">
        <is>
          <t>ISOMETRIC VIEW @ BLDG.1</t>
        </is>
      </c>
      <c r="D8" s="46" t="inlineStr">
        <is>
          <t>Structural</t>
        </is>
      </c>
      <c r="E8" s="47" t="inlineStr">
        <is>
          <t>1</t>
        </is>
      </c>
      <c r="F8" s="43" t="inlineStr">
        <is>
          <t>Released</t>
        </is>
      </c>
      <c r="G8" s="46" t="inlineStr">
        <is>
          <t>Panel Embeds - Bldg. 1</t>
        </is>
      </c>
      <c r="H8" s="54" t="n">
        <v>46083</v>
      </c>
      <c r="I8" s="54" t="n">
        <v>46106</v>
      </c>
      <c r="J8" s="47" t="inlineStr">
        <is>
          <t>No</t>
        </is>
      </c>
      <c r="K8" s="47" t="n">
        <v>0</v>
      </c>
      <c r="L8" s="2" t="n"/>
      <c r="M8" s="2" t="n"/>
      <c r="N8" s="2" t="n"/>
      <c r="O8" s="2" t="n"/>
    </row>
    <row r="9" ht="15" customHeight="1">
      <c r="A9" s="2" t="n"/>
      <c r="B9" s="40" t="inlineStr">
        <is>
          <t>101E102</t>
        </is>
      </c>
      <c r="C9" s="40" t="inlineStr">
        <is>
          <t>PARTIAL EMBED LAYOUT PLAN</t>
        </is>
      </c>
      <c r="D9" s="40" t="inlineStr">
        <is>
          <t>Structural</t>
        </is>
      </c>
      <c r="E9" s="41" t="inlineStr">
        <is>
          <t>1</t>
        </is>
      </c>
      <c r="F9" s="43" t="inlineStr">
        <is>
          <t>Released</t>
        </is>
      </c>
      <c r="G9" s="40" t="inlineStr">
        <is>
          <t>Panel Embeds - Bldg. 1</t>
        </is>
      </c>
      <c r="H9" s="53" t="n">
        <v>46083</v>
      </c>
      <c r="I9" s="53" t="n">
        <v>46106</v>
      </c>
      <c r="J9" s="41" t="inlineStr">
        <is>
          <t>No</t>
        </is>
      </c>
      <c r="K9" s="41" t="n">
        <v>0</v>
      </c>
      <c r="L9" s="2" t="n"/>
      <c r="M9" s="2" t="n"/>
      <c r="N9" s="2" t="n"/>
      <c r="O9" s="2" t="n"/>
    </row>
    <row r="10" ht="15" customHeight="1">
      <c r="A10" s="2" t="n"/>
      <c r="B10" s="46" t="inlineStr">
        <is>
          <t>101E103</t>
        </is>
      </c>
      <c r="C10" s="46" t="inlineStr">
        <is>
          <t>PARTIAL EMBED LAYOUT PLAN @ BLDG.1</t>
        </is>
      </c>
      <c r="D10" s="46" t="inlineStr">
        <is>
          <t>Structural</t>
        </is>
      </c>
      <c r="E10" s="47" t="inlineStr">
        <is>
          <t>1</t>
        </is>
      </c>
      <c r="F10" s="43" t="inlineStr">
        <is>
          <t>Released</t>
        </is>
      </c>
      <c r="G10" s="46" t="inlineStr">
        <is>
          <t>Panel Embeds - Bldg. 1</t>
        </is>
      </c>
      <c r="H10" s="54" t="n">
        <v>46083</v>
      </c>
      <c r="I10" s="54" t="n">
        <v>46106</v>
      </c>
      <c r="J10" s="47" t="inlineStr">
        <is>
          <t>No</t>
        </is>
      </c>
      <c r="K10" s="47" t="n">
        <v>0</v>
      </c>
      <c r="L10" s="2" t="n"/>
      <c r="M10" s="2" t="n"/>
      <c r="N10" s="2" t="n"/>
      <c r="O10" s="2" t="n"/>
    </row>
    <row r="11" ht="15" customHeight="1">
      <c r="A11" s="2" t="n"/>
      <c r="B11" s="40" t="inlineStr">
        <is>
          <t>101E104</t>
        </is>
      </c>
      <c r="C11" s="40" t="inlineStr">
        <is>
          <t>ELEVATION</t>
        </is>
      </c>
      <c r="D11" s="40" t="inlineStr">
        <is>
          <t>Structural</t>
        </is>
      </c>
      <c r="E11" s="41" t="inlineStr">
        <is>
          <t>1</t>
        </is>
      </c>
      <c r="F11" s="43" t="inlineStr">
        <is>
          <t>Released</t>
        </is>
      </c>
      <c r="G11" s="40" t="inlineStr">
        <is>
          <t>Panel Embeds - Bldg. 1</t>
        </is>
      </c>
      <c r="H11" s="53" t="n">
        <v>46083</v>
      </c>
      <c r="I11" s="53" t="n">
        <v>46106</v>
      </c>
      <c r="J11" s="41" t="inlineStr">
        <is>
          <t>No</t>
        </is>
      </c>
      <c r="K11" s="41" t="n">
        <v>0</v>
      </c>
      <c r="L11" s="2" t="n"/>
      <c r="M11" s="2" t="n"/>
      <c r="N11" s="2" t="n"/>
      <c r="O11" s="2" t="n"/>
    </row>
    <row r="12" ht="15" customHeight="1">
      <c r="A12" s="2" t="n"/>
      <c r="B12" s="46" t="inlineStr">
        <is>
          <t>101E105</t>
        </is>
      </c>
      <c r="C12" s="46" t="inlineStr">
        <is>
          <t>ELEVATION @ BLDG.1</t>
        </is>
      </c>
      <c r="D12" s="46" t="inlineStr">
        <is>
          <t>Structural</t>
        </is>
      </c>
      <c r="E12" s="47" t="inlineStr">
        <is>
          <t>1</t>
        </is>
      </c>
      <c r="F12" s="43" t="inlineStr">
        <is>
          <t>Released</t>
        </is>
      </c>
      <c r="G12" s="46" t="inlineStr">
        <is>
          <t>Panel Embeds - Bldg. 1</t>
        </is>
      </c>
      <c r="H12" s="54" t="n">
        <v>46083</v>
      </c>
      <c r="I12" s="54" t="n">
        <v>46106</v>
      </c>
      <c r="J12" s="47" t="inlineStr">
        <is>
          <t>No</t>
        </is>
      </c>
      <c r="K12" s="47" t="n">
        <v>0</v>
      </c>
      <c r="L12" s="2" t="n"/>
      <c r="M12" s="2" t="n"/>
      <c r="N12" s="2" t="n"/>
      <c r="O12" s="2" t="n"/>
    </row>
    <row r="13" ht="15" customHeight="1">
      <c r="A13" s="2" t="n"/>
      <c r="B13" s="40" t="inlineStr">
        <is>
          <t>101E106</t>
        </is>
      </c>
      <c r="C13" s="40" t="inlineStr">
        <is>
          <t>ELEVATION @ BLDG.1</t>
        </is>
      </c>
      <c r="D13" s="40" t="inlineStr">
        <is>
          <t>Structural</t>
        </is>
      </c>
      <c r="E13" s="41" t="inlineStr">
        <is>
          <t>1</t>
        </is>
      </c>
      <c r="F13" s="43" t="inlineStr">
        <is>
          <t>Released</t>
        </is>
      </c>
      <c r="G13" s="40" t="inlineStr">
        <is>
          <t>Panel Embeds - Bldg. 1</t>
        </is>
      </c>
      <c r="H13" s="53" t="n">
        <v>46083</v>
      </c>
      <c r="I13" s="53" t="n">
        <v>46106</v>
      </c>
      <c r="J13" s="41" t="inlineStr">
        <is>
          <t>No</t>
        </is>
      </c>
      <c r="K13" s="41" t="n">
        <v>0</v>
      </c>
      <c r="L13" s="2" t="n"/>
      <c r="M13" s="2" t="n"/>
      <c r="N13" s="2" t="n"/>
      <c r="O13" s="2" t="n"/>
    </row>
    <row r="14" ht="15" customHeight="1">
      <c r="A14" s="2" t="n"/>
      <c r="B14" s="46" t="inlineStr">
        <is>
          <t>101E107</t>
        </is>
      </c>
      <c r="C14" s="46" t="inlineStr">
        <is>
          <t>ELEVATION</t>
        </is>
      </c>
      <c r="D14" s="46" t="inlineStr">
        <is>
          <t>Structural</t>
        </is>
      </c>
      <c r="E14" s="47" t="inlineStr">
        <is>
          <t>1</t>
        </is>
      </c>
      <c r="F14" s="43" t="inlineStr">
        <is>
          <t>Released</t>
        </is>
      </c>
      <c r="G14" s="46" t="inlineStr">
        <is>
          <t>Panel Embeds - Bldg. 1</t>
        </is>
      </c>
      <c r="H14" s="54" t="n">
        <v>46083</v>
      </c>
      <c r="I14" s="54" t="n">
        <v>46106</v>
      </c>
      <c r="J14" s="47" t="inlineStr">
        <is>
          <t>No</t>
        </is>
      </c>
      <c r="K14" s="47" t="n">
        <v>0</v>
      </c>
      <c r="L14" s="2" t="n"/>
      <c r="M14" s="2" t="n"/>
      <c r="N14" s="2" t="n"/>
      <c r="O14" s="2" t="n"/>
    </row>
    <row r="15" ht="15" customHeight="1">
      <c r="A15" s="2" t="n"/>
      <c r="B15" s="40" t="inlineStr">
        <is>
          <t>101E108</t>
        </is>
      </c>
      <c r="C15" s="40" t="inlineStr">
        <is>
          <t>ELEVATION</t>
        </is>
      </c>
      <c r="D15" s="40" t="inlineStr">
        <is>
          <t>Structural</t>
        </is>
      </c>
      <c r="E15" s="41" t="inlineStr">
        <is>
          <t>1</t>
        </is>
      </c>
      <c r="F15" s="43" t="inlineStr">
        <is>
          <t>Released</t>
        </is>
      </c>
      <c r="G15" s="40" t="inlineStr">
        <is>
          <t>Panel Embeds - Bldg. 1</t>
        </is>
      </c>
      <c r="H15" s="53" t="n">
        <v>46083</v>
      </c>
      <c r="I15" s="53" t="n">
        <v>46106</v>
      </c>
      <c r="J15" s="41" t="inlineStr">
        <is>
          <t>No</t>
        </is>
      </c>
      <c r="K15" s="41" t="n">
        <v>0</v>
      </c>
      <c r="L15" s="2" t="n"/>
      <c r="M15" s="2" t="n"/>
      <c r="N15" s="2" t="n"/>
      <c r="O15" s="2" t="n"/>
    </row>
    <row r="16" ht="15" customHeight="1">
      <c r="A16" s="2" t="n"/>
      <c r="B16" s="46" t="inlineStr">
        <is>
          <t>101E109</t>
        </is>
      </c>
      <c r="C16" s="46" t="inlineStr">
        <is>
          <t>ELEVATION</t>
        </is>
      </c>
      <c r="D16" s="46" t="inlineStr">
        <is>
          <t>Structural</t>
        </is>
      </c>
      <c r="E16" s="47" t="inlineStr">
        <is>
          <t>1</t>
        </is>
      </c>
      <c r="F16" s="43" t="inlineStr">
        <is>
          <t>Released</t>
        </is>
      </c>
      <c r="G16" s="46" t="inlineStr">
        <is>
          <t>Panel Embeds - Bldg. 1</t>
        </is>
      </c>
      <c r="H16" s="54" t="n">
        <v>46083</v>
      </c>
      <c r="I16" s="54" t="n">
        <v>46106</v>
      </c>
      <c r="J16" s="47" t="inlineStr">
        <is>
          <t>No</t>
        </is>
      </c>
      <c r="K16" s="47" t="n">
        <v>0</v>
      </c>
      <c r="L16" s="2" t="n"/>
      <c r="M16" s="2" t="n"/>
      <c r="N16" s="2" t="n"/>
      <c r="O16" s="2" t="n"/>
    </row>
    <row r="17" ht="15" customHeight="1">
      <c r="A17" s="2" t="n"/>
      <c r="B17" s="40" t="inlineStr">
        <is>
          <t>101E110</t>
        </is>
      </c>
      <c r="C17" s="40" t="inlineStr">
        <is>
          <t>ELEVATION @ BLDG.1</t>
        </is>
      </c>
      <c r="D17" s="40" t="inlineStr">
        <is>
          <t>Structural</t>
        </is>
      </c>
      <c r="E17" s="41" t="inlineStr">
        <is>
          <t>1</t>
        </is>
      </c>
      <c r="F17" s="43" t="inlineStr">
        <is>
          <t>Released</t>
        </is>
      </c>
      <c r="G17" s="40" t="inlineStr">
        <is>
          <t>Panel Embeds - Bldg. 1</t>
        </is>
      </c>
      <c r="H17" s="53" t="n">
        <v>46083</v>
      </c>
      <c r="I17" s="53" t="n">
        <v>46106</v>
      </c>
      <c r="J17" s="41" t="inlineStr">
        <is>
          <t>No</t>
        </is>
      </c>
      <c r="K17" s="41" t="n">
        <v>0</v>
      </c>
      <c r="L17" s="2" t="n"/>
      <c r="M17" s="2" t="n"/>
      <c r="N17" s="2" t="n"/>
      <c r="O17" s="2" t="n"/>
    </row>
    <row r="18" ht="15" customHeight="1">
      <c r="A18" s="2" t="n"/>
      <c r="B18" s="46" t="inlineStr">
        <is>
          <t>101E111</t>
        </is>
      </c>
      <c r="C18" s="46" t="inlineStr">
        <is>
          <t>ELEVATION</t>
        </is>
      </c>
      <c r="D18" s="46" t="inlineStr">
        <is>
          <t>Structural</t>
        </is>
      </c>
      <c r="E18" s="47" t="inlineStr">
        <is>
          <t>1</t>
        </is>
      </c>
      <c r="F18" s="43" t="inlineStr">
        <is>
          <t>Released</t>
        </is>
      </c>
      <c r="G18" s="46" t="inlineStr">
        <is>
          <t>Panel Embeds - Bldg. 1</t>
        </is>
      </c>
      <c r="H18" s="54" t="n">
        <v>46083</v>
      </c>
      <c r="I18" s="54" t="n">
        <v>46106</v>
      </c>
      <c r="J18" s="47" t="inlineStr">
        <is>
          <t>No</t>
        </is>
      </c>
      <c r="K18" s="47" t="n">
        <v>0</v>
      </c>
      <c r="L18" s="2" t="n"/>
      <c r="M18" s="2" t="n"/>
      <c r="N18" s="2" t="n"/>
      <c r="O18" s="2" t="n"/>
    </row>
    <row r="19" ht="15" customHeight="1">
      <c r="A19" s="2" t="n"/>
      <c r="B19" s="40" t="inlineStr">
        <is>
          <t>101E112</t>
        </is>
      </c>
      <c r="C19" s="40" t="inlineStr">
        <is>
          <t>ELEVATION</t>
        </is>
      </c>
      <c r="D19" s="40" t="inlineStr">
        <is>
          <t>Structural</t>
        </is>
      </c>
      <c r="E19" s="41" t="inlineStr">
        <is>
          <t>1</t>
        </is>
      </c>
      <c r="F19" s="43" t="inlineStr">
        <is>
          <t>Released</t>
        </is>
      </c>
      <c r="G19" s="40" t="inlineStr">
        <is>
          <t>Panel Embeds - Bldg. 1</t>
        </is>
      </c>
      <c r="H19" s="53" t="n">
        <v>46083</v>
      </c>
      <c r="I19" s="53" t="n">
        <v>46106</v>
      </c>
      <c r="J19" s="41" t="inlineStr">
        <is>
          <t>No</t>
        </is>
      </c>
      <c r="K19" s="41" t="n">
        <v>0</v>
      </c>
      <c r="L19" s="2" t="n"/>
      <c r="M19" s="2" t="n"/>
      <c r="N19" s="2" t="n"/>
      <c r="O19" s="2" t="n"/>
    </row>
    <row r="20" ht="15" customHeight="1">
      <c r="A20" s="2" t="n"/>
      <c r="B20" s="46" t="inlineStr">
        <is>
          <t>101E113</t>
        </is>
      </c>
      <c r="C20" s="46" t="inlineStr">
        <is>
          <t>ELEVATION</t>
        </is>
      </c>
      <c r="D20" s="46" t="inlineStr">
        <is>
          <t>Structural</t>
        </is>
      </c>
      <c r="E20" s="47" t="inlineStr">
        <is>
          <t>1</t>
        </is>
      </c>
      <c r="F20" s="43" t="inlineStr">
        <is>
          <t>Released</t>
        </is>
      </c>
      <c r="G20" s="46" t="inlineStr">
        <is>
          <t>Panel Embeds - Bldg. 1</t>
        </is>
      </c>
      <c r="H20" s="54" t="n">
        <v>46083</v>
      </c>
      <c r="I20" s="54" t="n">
        <v>46106</v>
      </c>
      <c r="J20" s="47" t="inlineStr">
        <is>
          <t>No</t>
        </is>
      </c>
      <c r="K20" s="47" t="n">
        <v>0</v>
      </c>
      <c r="L20" s="2" t="n"/>
      <c r="M20" s="2" t="n"/>
      <c r="N20" s="2" t="n"/>
      <c r="O20" s="2" t="n"/>
    </row>
    <row r="21" ht="15" customHeight="1">
      <c r="A21" s="2" t="n"/>
      <c r="B21" s="40" t="inlineStr">
        <is>
          <t>101E114</t>
        </is>
      </c>
      <c r="C21" s="40" t="inlineStr">
        <is>
          <t>ELEVATION</t>
        </is>
      </c>
      <c r="D21" s="40" t="inlineStr">
        <is>
          <t>Structural</t>
        </is>
      </c>
      <c r="E21" s="41" t="inlineStr">
        <is>
          <t>1</t>
        </is>
      </c>
      <c r="F21" s="43" t="inlineStr">
        <is>
          <t>Released</t>
        </is>
      </c>
      <c r="G21" s="40" t="inlineStr">
        <is>
          <t>Panel Embeds - Bldg. 1</t>
        </is>
      </c>
      <c r="H21" s="53" t="n">
        <v>46083</v>
      </c>
      <c r="I21" s="53" t="n">
        <v>46106</v>
      </c>
      <c r="J21" s="41" t="inlineStr">
        <is>
          <t>No</t>
        </is>
      </c>
      <c r="K21" s="41" t="n">
        <v>0</v>
      </c>
      <c r="L21" s="2" t="n"/>
      <c r="M21" s="2" t="n"/>
      <c r="N21" s="2" t="n"/>
      <c r="O21" s="2" t="n"/>
    </row>
    <row r="22" ht="15" customHeight="1">
      <c r="A22" s="2" t="n"/>
      <c r="B22" s="46" t="inlineStr">
        <is>
          <t>101E115</t>
        </is>
      </c>
      <c r="C22" s="46" t="inlineStr">
        <is>
          <t>ELEVATION</t>
        </is>
      </c>
      <c r="D22" s="46" t="inlineStr">
        <is>
          <t>Structural</t>
        </is>
      </c>
      <c r="E22" s="47" t="inlineStr">
        <is>
          <t>1</t>
        </is>
      </c>
      <c r="F22" s="43" t="inlineStr">
        <is>
          <t>Released</t>
        </is>
      </c>
      <c r="G22" s="46" t="inlineStr">
        <is>
          <t>Panel Embeds - Bldg. 1</t>
        </is>
      </c>
      <c r="H22" s="54" t="n">
        <v>46083</v>
      </c>
      <c r="I22" s="54" t="n">
        <v>46106</v>
      </c>
      <c r="J22" s="47" t="inlineStr">
        <is>
          <t>No</t>
        </is>
      </c>
      <c r="K22" s="47" t="n">
        <v>0</v>
      </c>
      <c r="L22" s="2" t="n"/>
      <c r="M22" s="2" t="n"/>
      <c r="N22" s="2" t="n"/>
      <c r="O22" s="2" t="n"/>
    </row>
    <row r="23" ht="15" customHeight="1">
      <c r="A23" s="2" t="n"/>
      <c r="B23" s="40" t="inlineStr">
        <is>
          <t>101E153</t>
        </is>
      </c>
      <c r="C23" s="40" t="inlineStr">
        <is>
          <t>PANEL EMBED MISC.ELEVATION @ BLDG.1</t>
        </is>
      </c>
      <c r="D23" s="40" t="inlineStr">
        <is>
          <t>Structural</t>
        </is>
      </c>
      <c r="E23" s="41" t="inlineStr">
        <is>
          <t>1</t>
        </is>
      </c>
      <c r="F23" s="43" t="inlineStr">
        <is>
          <t>Released</t>
        </is>
      </c>
      <c r="G23" s="40" t="inlineStr">
        <is>
          <t>Panel Embeds - Bldg. 1</t>
        </is>
      </c>
      <c r="H23" s="53" t="n">
        <v>46083</v>
      </c>
      <c r="I23" s="53" t="n">
        <v>46106</v>
      </c>
      <c r="J23" s="41" t="inlineStr">
        <is>
          <t>No</t>
        </is>
      </c>
      <c r="K23" s="41" t="n">
        <v>0</v>
      </c>
      <c r="L23" s="2" t="n"/>
      <c r="M23" s="2" t="n"/>
      <c r="N23" s="2" t="n"/>
      <c r="O23" s="2" t="n"/>
    </row>
    <row r="24" ht="15" customHeight="1">
      <c r="A24" s="2" t="n"/>
      <c r="B24" s="46" t="inlineStr">
        <is>
          <t>101E155</t>
        </is>
      </c>
      <c r="C24" s="46" t="inlineStr">
        <is>
          <t>EMBED MISC DETAIL &amp; SECTION @ BLDG.1</t>
        </is>
      </c>
      <c r="D24" s="46" t="inlineStr">
        <is>
          <t>Misc Metals</t>
        </is>
      </c>
      <c r="E24" s="47" t="inlineStr">
        <is>
          <t>A</t>
        </is>
      </c>
      <c r="F24" s="43" t="inlineStr">
        <is>
          <t>Released</t>
        </is>
      </c>
      <c r="G24" s="46" t="inlineStr">
        <is>
          <t>Panel Embeds - Bldg. 1</t>
        </is>
      </c>
      <c r="H24" s="54" t="n">
        <v>46112</v>
      </c>
      <c r="I24" s="54" t="n">
        <v>46168</v>
      </c>
      <c r="J24" s="47" t="inlineStr">
        <is>
          <t>No</t>
        </is>
      </c>
      <c r="K24" s="47" t="n">
        <v>0</v>
      </c>
      <c r="L24" s="2" t="n"/>
      <c r="M24" s="2" t="n"/>
      <c r="N24" s="2" t="n"/>
      <c r="O24" s="2" t="n"/>
    </row>
    <row r="25" ht="15" customHeight="1">
      <c r="A25" s="2" t="n"/>
      <c r="B25" s="40" t="inlineStr">
        <is>
          <t>102ABP101</t>
        </is>
      </c>
      <c r="C25" s="40" t="inlineStr">
        <is>
          <t>PARTIAL ANCHOR BOLT LAYOUT PLAN @ BLDG.2</t>
        </is>
      </c>
      <c r="D25" s="40" t="inlineStr">
        <is>
          <t>Structural</t>
        </is>
      </c>
      <c r="E25" s="41" t="inlineStr">
        <is>
          <t>1</t>
        </is>
      </c>
      <c r="F25" s="43" t="inlineStr">
        <is>
          <t>Released</t>
        </is>
      </c>
      <c r="G25" s="40" t="inlineStr">
        <is>
          <t>Anchor Bolts - Bldg. 1 &amp; 2</t>
        </is>
      </c>
      <c r="H25" s="53" t="n">
        <v>46077</v>
      </c>
      <c r="I25" s="53" t="n">
        <v>46114</v>
      </c>
      <c r="J25" s="41" t="inlineStr">
        <is>
          <t>No</t>
        </is>
      </c>
      <c r="K25" s="41" t="n">
        <v>0</v>
      </c>
      <c r="L25" s="2" t="n"/>
      <c r="M25" s="2" t="n"/>
      <c r="N25" s="2" t="n"/>
      <c r="O25" s="2" t="n"/>
    </row>
    <row r="26" ht="15" customHeight="1">
      <c r="A26" s="2" t="n"/>
      <c r="B26" s="46" t="inlineStr">
        <is>
          <t>102ABP102</t>
        </is>
      </c>
      <c r="C26" s="46" t="inlineStr">
        <is>
          <t>PARTIAL ANCHOR BOLT LAYOUT PLAN @ BLDG.2</t>
        </is>
      </c>
      <c r="D26" s="46" t="inlineStr">
        <is>
          <t>Structural</t>
        </is>
      </c>
      <c r="E26" s="47" t="inlineStr">
        <is>
          <t>1</t>
        </is>
      </c>
      <c r="F26" s="43" t="inlineStr">
        <is>
          <t>Released</t>
        </is>
      </c>
      <c r="G26" s="46" t="inlineStr">
        <is>
          <t>Anchor Bolts - Bldg. 1 &amp; 2</t>
        </is>
      </c>
      <c r="H26" s="54" t="n">
        <v>46077</v>
      </c>
      <c r="I26" s="54" t="n">
        <v>46114</v>
      </c>
      <c r="J26" s="47" t="inlineStr">
        <is>
          <t>No</t>
        </is>
      </c>
      <c r="K26" s="47" t="n">
        <v>0</v>
      </c>
      <c r="L26" s="2" t="n"/>
      <c r="M26" s="2" t="n"/>
      <c r="N26" s="2" t="n"/>
      <c r="O26" s="2" t="n"/>
    </row>
    <row r="27" ht="15" customHeight="1">
      <c r="A27" s="2" t="n"/>
      <c r="B27" s="40" t="inlineStr">
        <is>
          <t>102ABP103</t>
        </is>
      </c>
      <c r="C27" s="40" t="inlineStr">
        <is>
          <t>PARTIAL ANCHOR BOLT LAYOUT PLAN @ BLDG.2</t>
        </is>
      </c>
      <c r="D27" s="40" t="inlineStr">
        <is>
          <t>Structural</t>
        </is>
      </c>
      <c r="E27" s="41" t="inlineStr">
        <is>
          <t>1</t>
        </is>
      </c>
      <c r="F27" s="43" t="inlineStr">
        <is>
          <t>Released</t>
        </is>
      </c>
      <c r="G27" s="40" t="inlineStr">
        <is>
          <t>Anchor Bolts - Bldg. 1 &amp; 2</t>
        </is>
      </c>
      <c r="H27" s="53" t="n">
        <v>46077</v>
      </c>
      <c r="I27" s="53" t="n">
        <v>46114</v>
      </c>
      <c r="J27" s="41" t="inlineStr">
        <is>
          <t>No</t>
        </is>
      </c>
      <c r="K27" s="41" t="n">
        <v>0</v>
      </c>
      <c r="L27" s="2" t="n"/>
      <c r="M27" s="2" t="n"/>
      <c r="N27" s="2" t="n"/>
      <c r="O27" s="2" t="n"/>
    </row>
    <row r="28" ht="15" customHeight="1">
      <c r="A28" s="2" t="n"/>
      <c r="B28" s="46" t="inlineStr">
        <is>
          <t>102ABP104</t>
        </is>
      </c>
      <c r="C28" s="46" t="inlineStr">
        <is>
          <t>DETAIL &amp; SECTION @ BLDG.2</t>
        </is>
      </c>
      <c r="D28" s="46" t="inlineStr">
        <is>
          <t>Structural</t>
        </is>
      </c>
      <c r="E28" s="47" t="inlineStr">
        <is>
          <t>1</t>
        </is>
      </c>
      <c r="F28" s="43" t="inlineStr">
        <is>
          <t>Released</t>
        </is>
      </c>
      <c r="G28" s="46" t="inlineStr">
        <is>
          <t>Anchor Bolts - Bldg. 1 &amp; 2</t>
        </is>
      </c>
      <c r="H28" s="54" t="n">
        <v>46077</v>
      </c>
      <c r="I28" s="54" t="n">
        <v>46114</v>
      </c>
      <c r="J28" s="47" t="inlineStr">
        <is>
          <t>No</t>
        </is>
      </c>
      <c r="K28" s="47" t="n">
        <v>0</v>
      </c>
      <c r="L28" s="2" t="n"/>
      <c r="M28" s="2" t="n"/>
      <c r="N28" s="2" t="n"/>
      <c r="O28" s="2" t="n"/>
    </row>
    <row r="29" ht="15" customHeight="1">
      <c r="A29" s="2" t="n"/>
      <c r="B29" s="40" t="inlineStr">
        <is>
          <t>102ABP105</t>
        </is>
      </c>
      <c r="C29" s="40" t="inlineStr">
        <is>
          <t>DETAIL &amp; SECTION @ BLDG.2</t>
        </is>
      </c>
      <c r="D29" s="40" t="inlineStr">
        <is>
          <t>Structural</t>
        </is>
      </c>
      <c r="E29" s="41" t="inlineStr">
        <is>
          <t>1</t>
        </is>
      </c>
      <c r="F29" s="43" t="inlineStr">
        <is>
          <t>Released</t>
        </is>
      </c>
      <c r="G29" s="40" t="inlineStr">
        <is>
          <t>Anchor Bolts - Bldg. 1 &amp; 2</t>
        </is>
      </c>
      <c r="H29" s="53" t="n">
        <v>46077</v>
      </c>
      <c r="I29" s="53" t="n">
        <v>46114</v>
      </c>
      <c r="J29" s="41" t="inlineStr">
        <is>
          <t>No</t>
        </is>
      </c>
      <c r="K29" s="41" t="n">
        <v>0</v>
      </c>
      <c r="L29" s="2" t="n"/>
      <c r="M29" s="2" t="n"/>
      <c r="N29" s="2" t="n"/>
      <c r="O29" s="2" t="n"/>
    </row>
    <row r="30" ht="15" customHeight="1">
      <c r="A30" s="2" t="n"/>
      <c r="B30" s="46" t="inlineStr">
        <is>
          <t>102E101</t>
        </is>
      </c>
      <c r="C30" s="46" t="inlineStr">
        <is>
          <t>ISOMETRIC VIEW @ BLDG.2</t>
        </is>
      </c>
      <c r="D30" s="46" t="inlineStr">
        <is>
          <t>Misc Metals</t>
        </is>
      </c>
      <c r="E30" s="47" t="inlineStr">
        <is>
          <t>1</t>
        </is>
      </c>
      <c r="F30" s="43" t="inlineStr">
        <is>
          <t>Released</t>
        </is>
      </c>
      <c r="G30" s="46" t="inlineStr">
        <is>
          <t>Panel Embeds - Bldg. 2</t>
        </is>
      </c>
      <c r="H30" s="54" t="n">
        <v>46104</v>
      </c>
      <c r="I30" s="54" t="n">
        <v>46153</v>
      </c>
      <c r="J30" s="47" t="inlineStr">
        <is>
          <t>No</t>
        </is>
      </c>
      <c r="K30" s="47" t="n">
        <v>0</v>
      </c>
      <c r="L30" s="2" t="n"/>
      <c r="M30" s="2" t="n"/>
      <c r="N30" s="2" t="n"/>
      <c r="O30" s="2" t="n"/>
    </row>
    <row r="31" ht="15" customHeight="1">
      <c r="A31" s="2" t="n"/>
      <c r="B31" s="40" t="inlineStr">
        <is>
          <t>102E102</t>
        </is>
      </c>
      <c r="C31" s="40" t="inlineStr">
        <is>
          <t>PARTIAL PANEL EMBED LAYOUT PLAN @BLDG.2</t>
        </is>
      </c>
      <c r="D31" s="40" t="inlineStr">
        <is>
          <t>Misc Metals</t>
        </is>
      </c>
      <c r="E31" s="41" t="inlineStr">
        <is>
          <t>1</t>
        </is>
      </c>
      <c r="F31" s="43" t="inlineStr">
        <is>
          <t>Released</t>
        </is>
      </c>
      <c r="G31" s="40" t="inlineStr">
        <is>
          <t>Panel Embeds - Bldg. 2</t>
        </is>
      </c>
      <c r="H31" s="53" t="n">
        <v>46104</v>
      </c>
      <c r="I31" s="53" t="n">
        <v>46153</v>
      </c>
      <c r="J31" s="41" t="inlineStr">
        <is>
          <t>No</t>
        </is>
      </c>
      <c r="K31" s="41" t="n">
        <v>0</v>
      </c>
      <c r="L31" s="2" t="n"/>
      <c r="M31" s="2" t="n"/>
      <c r="N31" s="2" t="n"/>
      <c r="O31" s="2" t="n"/>
    </row>
    <row r="32" ht="15" customHeight="1">
      <c r="A32" s="2" t="n"/>
      <c r="B32" s="46" t="inlineStr">
        <is>
          <t>102E103</t>
        </is>
      </c>
      <c r="C32" s="46" t="inlineStr">
        <is>
          <t>PARTIAL PANEL EMBED LAYOUT PLAN @BLDG.2</t>
        </is>
      </c>
      <c r="D32" s="46" t="inlineStr">
        <is>
          <t>Misc Metals</t>
        </is>
      </c>
      <c r="E32" s="47" t="inlineStr">
        <is>
          <t>1</t>
        </is>
      </c>
      <c r="F32" s="43" t="inlineStr">
        <is>
          <t>Released</t>
        </is>
      </c>
      <c r="G32" s="46" t="inlineStr">
        <is>
          <t>Panel Embeds - Bldg. 2</t>
        </is>
      </c>
      <c r="H32" s="54" t="n">
        <v>46104</v>
      </c>
      <c r="I32" s="54" t="n">
        <v>46153</v>
      </c>
      <c r="J32" s="47" t="inlineStr">
        <is>
          <t>No</t>
        </is>
      </c>
      <c r="K32" s="47" t="n">
        <v>0</v>
      </c>
      <c r="L32" s="2" t="n"/>
      <c r="M32" s="2" t="n"/>
      <c r="N32" s="2" t="n"/>
      <c r="O32" s="2" t="n"/>
    </row>
    <row r="33" ht="15" customHeight="1">
      <c r="A33" s="2" t="n"/>
      <c r="B33" s="40" t="inlineStr">
        <is>
          <t>102E104</t>
        </is>
      </c>
      <c r="C33" s="40" t="inlineStr">
        <is>
          <t>ELEVATION @ BLDG.2</t>
        </is>
      </c>
      <c r="D33" s="40" t="inlineStr">
        <is>
          <t>Misc Metals</t>
        </is>
      </c>
      <c r="E33" s="41" t="inlineStr">
        <is>
          <t>1</t>
        </is>
      </c>
      <c r="F33" s="43" t="inlineStr">
        <is>
          <t>Released</t>
        </is>
      </c>
      <c r="G33" s="40" t="inlineStr">
        <is>
          <t>Panel Embeds - Bldg. 2</t>
        </is>
      </c>
      <c r="H33" s="53" t="n">
        <v>46104</v>
      </c>
      <c r="I33" s="53" t="n">
        <v>46153</v>
      </c>
      <c r="J33" s="41" t="inlineStr">
        <is>
          <t>No</t>
        </is>
      </c>
      <c r="K33" s="41" t="n">
        <v>0</v>
      </c>
      <c r="L33" s="2" t="n"/>
      <c r="M33" s="2" t="n"/>
      <c r="N33" s="2" t="n"/>
      <c r="O33" s="2" t="n"/>
    </row>
    <row r="34" ht="15" customHeight="1">
      <c r="A34" s="2" t="n"/>
      <c r="B34" s="46" t="inlineStr">
        <is>
          <t>102E105</t>
        </is>
      </c>
      <c r="C34" s="46" t="inlineStr">
        <is>
          <t>ELEVATION @ BLDG.2</t>
        </is>
      </c>
      <c r="D34" s="46" t="inlineStr">
        <is>
          <t>Misc Metals</t>
        </is>
      </c>
      <c r="E34" s="47" t="inlineStr">
        <is>
          <t>1</t>
        </is>
      </c>
      <c r="F34" s="43" t="inlineStr">
        <is>
          <t>Released</t>
        </is>
      </c>
      <c r="G34" s="46" t="inlineStr">
        <is>
          <t>Panel Embeds - Bldg. 2</t>
        </is>
      </c>
      <c r="H34" s="54" t="n">
        <v>46104</v>
      </c>
      <c r="I34" s="54" t="n">
        <v>46153</v>
      </c>
      <c r="J34" s="47" t="inlineStr">
        <is>
          <t>No</t>
        </is>
      </c>
      <c r="K34" s="47" t="n">
        <v>0</v>
      </c>
      <c r="L34" s="2" t="n"/>
      <c r="M34" s="2" t="n"/>
      <c r="N34" s="2" t="n"/>
      <c r="O34" s="2" t="n"/>
    </row>
    <row r="35" ht="15" customHeight="1">
      <c r="A35" s="2" t="n"/>
      <c r="B35" s="40" t="inlineStr">
        <is>
          <t>102E106</t>
        </is>
      </c>
      <c r="C35" s="40" t="inlineStr">
        <is>
          <t>ELEVATION @ BLDG.2</t>
        </is>
      </c>
      <c r="D35" s="40" t="inlineStr">
        <is>
          <t>Misc Metals</t>
        </is>
      </c>
      <c r="E35" s="41" t="inlineStr">
        <is>
          <t>1</t>
        </is>
      </c>
      <c r="F35" s="43" t="inlineStr">
        <is>
          <t>Released</t>
        </is>
      </c>
      <c r="G35" s="40" t="inlineStr">
        <is>
          <t>Panel Embeds - Bldg. 2</t>
        </is>
      </c>
      <c r="H35" s="53" t="n">
        <v>46104</v>
      </c>
      <c r="I35" s="53" t="n">
        <v>46153</v>
      </c>
      <c r="J35" s="41" t="inlineStr">
        <is>
          <t>No</t>
        </is>
      </c>
      <c r="K35" s="41" t="n">
        <v>0</v>
      </c>
      <c r="L35" s="2" t="n"/>
      <c r="M35" s="2" t="n"/>
      <c r="N35" s="2" t="n"/>
      <c r="O35" s="2" t="n"/>
    </row>
    <row r="36" ht="15" customHeight="1">
      <c r="A36" s="2" t="n"/>
      <c r="B36" s="46" t="inlineStr">
        <is>
          <t>102E107</t>
        </is>
      </c>
      <c r="C36" s="46" t="inlineStr">
        <is>
          <t>ELEVATION @ BLDG.2</t>
        </is>
      </c>
      <c r="D36" s="46" t="inlineStr">
        <is>
          <t>Misc Metals</t>
        </is>
      </c>
      <c r="E36" s="47" t="inlineStr">
        <is>
          <t>1</t>
        </is>
      </c>
      <c r="F36" s="43" t="inlineStr">
        <is>
          <t>Released</t>
        </is>
      </c>
      <c r="G36" s="46" t="inlineStr">
        <is>
          <t>Panel Embeds - Bldg. 2</t>
        </is>
      </c>
      <c r="H36" s="54" t="n">
        <v>46104</v>
      </c>
      <c r="I36" s="54" t="n">
        <v>46153</v>
      </c>
      <c r="J36" s="47" t="inlineStr">
        <is>
          <t>No</t>
        </is>
      </c>
      <c r="K36" s="47" t="n">
        <v>0</v>
      </c>
      <c r="L36" s="2" t="n"/>
      <c r="M36" s="2" t="n"/>
      <c r="N36" s="2" t="n"/>
      <c r="O36" s="2" t="n"/>
    </row>
    <row r="37" ht="15" customHeight="1">
      <c r="A37" s="2" t="n"/>
      <c r="B37" s="40" t="inlineStr">
        <is>
          <t>102E108</t>
        </is>
      </c>
      <c r="C37" s="40" t="inlineStr">
        <is>
          <t>ELEVATION @ BLDG.2</t>
        </is>
      </c>
      <c r="D37" s="40" t="inlineStr">
        <is>
          <t>Misc Metals</t>
        </is>
      </c>
      <c r="E37" s="41" t="inlineStr">
        <is>
          <t>1</t>
        </is>
      </c>
      <c r="F37" s="43" t="inlineStr">
        <is>
          <t>Released</t>
        </is>
      </c>
      <c r="G37" s="40" t="inlineStr">
        <is>
          <t>Panel Embeds - Bldg. 2</t>
        </is>
      </c>
      <c r="H37" s="53" t="n">
        <v>46104</v>
      </c>
      <c r="I37" s="53" t="n">
        <v>46153</v>
      </c>
      <c r="J37" s="41" t="inlineStr">
        <is>
          <t>No</t>
        </is>
      </c>
      <c r="K37" s="41" t="n">
        <v>0</v>
      </c>
      <c r="L37" s="2" t="n"/>
      <c r="M37" s="2" t="n"/>
      <c r="N37" s="2" t="n"/>
      <c r="O37" s="2" t="n"/>
    </row>
    <row r="38" ht="15" customHeight="1">
      <c r="A38" s="2" t="n"/>
      <c r="B38" s="46" t="inlineStr">
        <is>
          <t>102E109</t>
        </is>
      </c>
      <c r="C38" s="46" t="inlineStr">
        <is>
          <t>ELEVATION @ BLDG.2</t>
        </is>
      </c>
      <c r="D38" s="46" t="inlineStr">
        <is>
          <t>Misc Metals</t>
        </is>
      </c>
      <c r="E38" s="47" t="inlineStr">
        <is>
          <t>1</t>
        </is>
      </c>
      <c r="F38" s="43" t="inlineStr">
        <is>
          <t>Released</t>
        </is>
      </c>
      <c r="G38" s="46" t="inlineStr">
        <is>
          <t>Panel Embeds - Bldg. 2</t>
        </is>
      </c>
      <c r="H38" s="54" t="n">
        <v>46104</v>
      </c>
      <c r="I38" s="54" t="n">
        <v>46153</v>
      </c>
      <c r="J38" s="47" t="inlineStr">
        <is>
          <t>No</t>
        </is>
      </c>
      <c r="K38" s="47" t="n">
        <v>0</v>
      </c>
      <c r="L38" s="2" t="n"/>
      <c r="M38" s="2" t="n"/>
      <c r="N38" s="2" t="n"/>
      <c r="O38" s="2" t="n"/>
    </row>
    <row r="39" ht="15" customHeight="1">
      <c r="A39" s="2" t="n"/>
      <c r="B39" s="40" t="inlineStr">
        <is>
          <t>102E111</t>
        </is>
      </c>
      <c r="C39" s="40" t="inlineStr">
        <is>
          <t>PANEL ELEVATION @ GRID LINE - H</t>
        </is>
      </c>
      <c r="D39" s="40" t="inlineStr">
        <is>
          <t>Misc Metals</t>
        </is>
      </c>
      <c r="E39" s="41" t="inlineStr">
        <is>
          <t>1</t>
        </is>
      </c>
      <c r="F39" s="43" t="inlineStr">
        <is>
          <t>Released</t>
        </is>
      </c>
      <c r="G39" s="40" t="inlineStr">
        <is>
          <t>Panel Embeds - Bldg. 2</t>
        </is>
      </c>
      <c r="H39" s="53" t="n">
        <v>46104</v>
      </c>
      <c r="I39" s="53" t="n">
        <v>46153</v>
      </c>
      <c r="J39" s="41" t="inlineStr">
        <is>
          <t>No</t>
        </is>
      </c>
      <c r="K39" s="41" t="n">
        <v>0</v>
      </c>
      <c r="L39" s="2" t="n"/>
      <c r="M39" s="2" t="n"/>
      <c r="N39" s="2" t="n"/>
      <c r="O39" s="2" t="n"/>
    </row>
    <row r="40" ht="15" customHeight="1">
      <c r="A40" s="2" t="n"/>
      <c r="B40" s="46" t="inlineStr">
        <is>
          <t>102E112</t>
        </is>
      </c>
      <c r="C40" s="46" t="inlineStr">
        <is>
          <t>PANEL ELEVATION @ GRID LINE - I</t>
        </is>
      </c>
      <c r="D40" s="46" t="inlineStr">
        <is>
          <t>Misc Metals</t>
        </is>
      </c>
      <c r="E40" s="47" t="inlineStr">
        <is>
          <t>1</t>
        </is>
      </c>
      <c r="F40" s="43" t="inlineStr">
        <is>
          <t>Released</t>
        </is>
      </c>
      <c r="G40" s="46" t="inlineStr">
        <is>
          <t>Panel Embeds - Bldg. 2</t>
        </is>
      </c>
      <c r="H40" s="54" t="n">
        <v>46104</v>
      </c>
      <c r="I40" s="54" t="n">
        <v>46153</v>
      </c>
      <c r="J40" s="47" t="inlineStr">
        <is>
          <t>No</t>
        </is>
      </c>
      <c r="K40" s="47" t="n">
        <v>0</v>
      </c>
      <c r="L40" s="2" t="n"/>
      <c r="M40" s="2" t="n"/>
      <c r="N40" s="2" t="n"/>
      <c r="O40" s="2" t="n"/>
    </row>
    <row r="41" ht="15" customHeight="1">
      <c r="A41" s="2" t="n"/>
      <c r="B41" s="40" t="inlineStr">
        <is>
          <t>102E113</t>
        </is>
      </c>
      <c r="C41" s="40" t="inlineStr">
        <is>
          <t>PANEL ELEVATION @ GRID LINE - J</t>
        </is>
      </c>
      <c r="D41" s="40" t="inlineStr">
        <is>
          <t>Misc Metals</t>
        </is>
      </c>
      <c r="E41" s="41" t="inlineStr">
        <is>
          <t>1</t>
        </is>
      </c>
      <c r="F41" s="43" t="inlineStr">
        <is>
          <t>Released</t>
        </is>
      </c>
      <c r="G41" s="40" t="inlineStr">
        <is>
          <t>Panel Embeds - Bldg. 2</t>
        </is>
      </c>
      <c r="H41" s="53" t="n">
        <v>46104</v>
      </c>
      <c r="I41" s="53" t="n">
        <v>46153</v>
      </c>
      <c r="J41" s="41" t="inlineStr">
        <is>
          <t>No</t>
        </is>
      </c>
      <c r="K41" s="41" t="n">
        <v>0</v>
      </c>
      <c r="L41" s="2" t="n"/>
      <c r="M41" s="2" t="n"/>
      <c r="N41" s="2" t="n"/>
      <c r="O41" s="2" t="n"/>
    </row>
    <row r="42" ht="15" customHeight="1">
      <c r="A42" s="2" t="n"/>
      <c r="B42" s="46" t="inlineStr">
        <is>
          <t>102E114</t>
        </is>
      </c>
      <c r="C42" s="46" t="inlineStr">
        <is>
          <t>PANEL ELEVATION @ GRID LINE - K</t>
        </is>
      </c>
      <c r="D42" s="46" t="inlineStr">
        <is>
          <t>Misc Metals</t>
        </is>
      </c>
      <c r="E42" s="47" t="inlineStr">
        <is>
          <t>1</t>
        </is>
      </c>
      <c r="F42" s="43" t="inlineStr">
        <is>
          <t>Released</t>
        </is>
      </c>
      <c r="G42" s="46" t="inlineStr">
        <is>
          <t>Panel Embeds - Bldg. 2</t>
        </is>
      </c>
      <c r="H42" s="54" t="n">
        <v>46104</v>
      </c>
      <c r="I42" s="54" t="n">
        <v>46153</v>
      </c>
      <c r="J42" s="47" t="inlineStr">
        <is>
          <t>No</t>
        </is>
      </c>
      <c r="K42" s="47" t="n">
        <v>0</v>
      </c>
      <c r="L42" s="2" t="n"/>
      <c r="M42" s="2" t="n"/>
      <c r="N42" s="2" t="n"/>
      <c r="O42" s="2" t="n"/>
    </row>
    <row r="43" ht="15" customHeight="1">
      <c r="A43" s="2" t="n"/>
      <c r="B43" s="40" t="inlineStr">
        <is>
          <t>102E115</t>
        </is>
      </c>
      <c r="C43" s="40" t="inlineStr">
        <is>
          <t>PANEL ELEVATION @ GRID LINE - L</t>
        </is>
      </c>
      <c r="D43" s="40" t="inlineStr">
        <is>
          <t>Misc Metals</t>
        </is>
      </c>
      <c r="E43" s="41" t="inlineStr">
        <is>
          <t>1</t>
        </is>
      </c>
      <c r="F43" s="43" t="inlineStr">
        <is>
          <t>Released</t>
        </is>
      </c>
      <c r="G43" s="40" t="inlineStr">
        <is>
          <t>Panel Embeds - Bldg. 2</t>
        </is>
      </c>
      <c r="H43" s="53" t="n">
        <v>46104</v>
      </c>
      <c r="I43" s="53" t="n">
        <v>46153</v>
      </c>
      <c r="J43" s="41" t="inlineStr">
        <is>
          <t>No</t>
        </is>
      </c>
      <c r="K43" s="41" t="n">
        <v>0</v>
      </c>
      <c r="L43" s="2" t="n"/>
      <c r="M43" s="2" t="n"/>
      <c r="N43" s="2" t="n"/>
      <c r="O43" s="2" t="n"/>
    </row>
    <row r="44" ht="15" customHeight="1">
      <c r="A44" s="2" t="n"/>
      <c r="B44" s="46" t="inlineStr">
        <is>
          <t>102E116</t>
        </is>
      </c>
      <c r="C44" s="46" t="inlineStr">
        <is>
          <t>PANEL ELEVATION @ GRID LINE - M</t>
        </is>
      </c>
      <c r="D44" s="46" t="inlineStr">
        <is>
          <t>Misc Metals</t>
        </is>
      </c>
      <c r="E44" s="47" t="inlineStr">
        <is>
          <t>1</t>
        </is>
      </c>
      <c r="F44" s="43" t="inlineStr">
        <is>
          <t>Released</t>
        </is>
      </c>
      <c r="G44" s="46" t="inlineStr">
        <is>
          <t>Panel Embeds - Bldg. 2</t>
        </is>
      </c>
      <c r="H44" s="54" t="n">
        <v>46104</v>
      </c>
      <c r="I44" s="54" t="n">
        <v>46153</v>
      </c>
      <c r="J44" s="47" t="inlineStr">
        <is>
          <t>No</t>
        </is>
      </c>
      <c r="K44" s="47" t="n">
        <v>0</v>
      </c>
      <c r="L44" s="2" t="n"/>
      <c r="M44" s="2" t="n"/>
      <c r="N44" s="2" t="n"/>
      <c r="O44" s="2" t="n"/>
    </row>
    <row r="45" ht="15" customHeight="1">
      <c r="A45" s="2" t="n"/>
      <c r="B45" s="40" t="inlineStr">
        <is>
          <t>102E117</t>
        </is>
      </c>
      <c r="C45" s="40" t="inlineStr">
        <is>
          <t>PANEL ELEVATION @ GRID LINE - N</t>
        </is>
      </c>
      <c r="D45" s="40" t="inlineStr">
        <is>
          <t>Misc Metals</t>
        </is>
      </c>
      <c r="E45" s="41" t="inlineStr">
        <is>
          <t>1</t>
        </is>
      </c>
      <c r="F45" s="43" t="inlineStr">
        <is>
          <t>Released</t>
        </is>
      </c>
      <c r="G45" s="40" t="inlineStr">
        <is>
          <t>Panel Embeds - Bldg. 2</t>
        </is>
      </c>
      <c r="H45" s="53" t="n">
        <v>46104</v>
      </c>
      <c r="I45" s="53" t="n">
        <v>46153</v>
      </c>
      <c r="J45" s="41" t="inlineStr">
        <is>
          <t>No</t>
        </is>
      </c>
      <c r="K45" s="41" t="n">
        <v>0</v>
      </c>
      <c r="L45" s="2" t="n"/>
      <c r="M45" s="2" t="n"/>
      <c r="N45" s="2" t="n"/>
      <c r="O45" s="2" t="n"/>
    </row>
    <row r="46" ht="15" customHeight="1">
      <c r="A46" s="2" t="n"/>
      <c r="B46" s="46" t="inlineStr">
        <is>
          <t>102E118</t>
        </is>
      </c>
      <c r="C46" s="46" t="inlineStr">
        <is>
          <t>PANEL ELEVATION @ GRID LINE - O</t>
        </is>
      </c>
      <c r="D46" s="46" t="inlineStr">
        <is>
          <t>Misc Metals</t>
        </is>
      </c>
      <c r="E46" s="47" t="inlineStr">
        <is>
          <t>1</t>
        </is>
      </c>
      <c r="F46" s="43" t="inlineStr">
        <is>
          <t>Released</t>
        </is>
      </c>
      <c r="G46" s="46" t="inlineStr">
        <is>
          <t>Panel Embeds - Bldg. 2</t>
        </is>
      </c>
      <c r="H46" s="54" t="n">
        <v>46104</v>
      </c>
      <c r="I46" s="54" t="n">
        <v>46153</v>
      </c>
      <c r="J46" s="47" t="inlineStr">
        <is>
          <t>No</t>
        </is>
      </c>
      <c r="K46" s="47" t="n">
        <v>0</v>
      </c>
      <c r="L46" s="2" t="n"/>
      <c r="M46" s="2" t="n"/>
      <c r="N46" s="2" t="n"/>
      <c r="O46" s="2" t="n"/>
    </row>
    <row r="47" ht="15" customHeight="1">
      <c r="A47" s="2" t="n"/>
      <c r="B47" s="40" t="inlineStr">
        <is>
          <t>102E119</t>
        </is>
      </c>
      <c r="C47" s="40" t="inlineStr">
        <is>
          <t>PANEL ELEVATION @ GRID LINE - P</t>
        </is>
      </c>
      <c r="D47" s="40" t="inlineStr">
        <is>
          <t>Misc Metals</t>
        </is>
      </c>
      <c r="E47" s="41" t="inlineStr">
        <is>
          <t>1</t>
        </is>
      </c>
      <c r="F47" s="43" t="inlineStr">
        <is>
          <t>Released</t>
        </is>
      </c>
      <c r="G47" s="40" t="inlineStr">
        <is>
          <t>Panel Embeds - Bldg. 2</t>
        </is>
      </c>
      <c r="H47" s="53" t="n">
        <v>46104</v>
      </c>
      <c r="I47" s="53" t="n">
        <v>46153</v>
      </c>
      <c r="J47" s="41" t="inlineStr">
        <is>
          <t>No</t>
        </is>
      </c>
      <c r="K47" s="41" t="n">
        <v>0</v>
      </c>
      <c r="L47" s="2" t="n"/>
      <c r="M47" s="2" t="n"/>
      <c r="N47" s="2" t="n"/>
      <c r="O47" s="2" t="n"/>
    </row>
    <row r="48" ht="15" customHeight="1">
      <c r="A48" s="2" t="n"/>
      <c r="B48" s="46" t="inlineStr">
        <is>
          <t>102E120</t>
        </is>
      </c>
      <c r="C48" s="46" t="inlineStr">
        <is>
          <t>PANEL ELEVATION @ GRID LINE - Q</t>
        </is>
      </c>
      <c r="D48" s="46" t="inlineStr">
        <is>
          <t>Misc Metals</t>
        </is>
      </c>
      <c r="E48" s="47" t="inlineStr">
        <is>
          <t>1</t>
        </is>
      </c>
      <c r="F48" s="43" t="inlineStr">
        <is>
          <t>Released</t>
        </is>
      </c>
      <c r="G48" s="46" t="inlineStr">
        <is>
          <t>Panel Embeds - Bldg. 2</t>
        </is>
      </c>
      <c r="H48" s="54" t="n">
        <v>46104</v>
      </c>
      <c r="I48" s="54" t="n">
        <v>46153</v>
      </c>
      <c r="J48" s="47" t="inlineStr">
        <is>
          <t>No</t>
        </is>
      </c>
      <c r="K48" s="47" t="n">
        <v>0</v>
      </c>
      <c r="L48" s="2" t="n"/>
      <c r="M48" s="2" t="n"/>
      <c r="N48" s="2" t="n"/>
      <c r="O48" s="2" t="n"/>
    </row>
    <row r="49" ht="15" customHeight="1">
      <c r="A49" s="2" t="n"/>
      <c r="B49" s="40" t="inlineStr">
        <is>
          <t>102E121</t>
        </is>
      </c>
      <c r="C49" s="40" t="inlineStr">
        <is>
          <t>PANEL ELEVATION @ GRID LINE - R</t>
        </is>
      </c>
      <c r="D49" s="40" t="inlineStr">
        <is>
          <t>Misc Metals</t>
        </is>
      </c>
      <c r="E49" s="41" t="inlineStr">
        <is>
          <t>1</t>
        </is>
      </c>
      <c r="F49" s="43" t="inlineStr">
        <is>
          <t>Released</t>
        </is>
      </c>
      <c r="G49" s="40" t="inlineStr">
        <is>
          <t>Panel Embeds - Bldg. 2</t>
        </is>
      </c>
      <c r="H49" s="53" t="n">
        <v>46104</v>
      </c>
      <c r="I49" s="53" t="n">
        <v>46153</v>
      </c>
      <c r="J49" s="41" t="inlineStr">
        <is>
          <t>No</t>
        </is>
      </c>
      <c r="K49" s="41" t="n">
        <v>0</v>
      </c>
      <c r="L49" s="2" t="n"/>
      <c r="M49" s="2" t="n"/>
      <c r="N49" s="2" t="n"/>
      <c r="O49" s="2" t="n"/>
    </row>
    <row r="50" ht="15" customHeight="1">
      <c r="A50" s="2" t="n"/>
      <c r="B50" s="46" t="inlineStr">
        <is>
          <t>102E122</t>
        </is>
      </c>
      <c r="C50" s="46" t="inlineStr">
        <is>
          <t>PANEL ELEVATION @ GRID LINE - S</t>
        </is>
      </c>
      <c r="D50" s="46" t="inlineStr">
        <is>
          <t>Misc Metals</t>
        </is>
      </c>
      <c r="E50" s="47" t="inlineStr">
        <is>
          <t>1</t>
        </is>
      </c>
      <c r="F50" s="43" t="inlineStr">
        <is>
          <t>Released</t>
        </is>
      </c>
      <c r="G50" s="46" t="inlineStr">
        <is>
          <t>Panel Embeds - Bldg. 2</t>
        </is>
      </c>
      <c r="H50" s="54" t="n">
        <v>46104</v>
      </c>
      <c r="I50" s="54" t="n">
        <v>46153</v>
      </c>
      <c r="J50" s="47" t="inlineStr">
        <is>
          <t>No</t>
        </is>
      </c>
      <c r="K50" s="47" t="n">
        <v>0</v>
      </c>
      <c r="L50" s="2" t="n"/>
      <c r="M50" s="2" t="n"/>
      <c r="N50" s="2" t="n"/>
      <c r="O50" s="2" t="n"/>
    </row>
    <row r="51" ht="15" customHeight="1">
      <c r="A51" s="2" t="n"/>
      <c r="B51" s="40" t="inlineStr">
        <is>
          <t>102E123</t>
        </is>
      </c>
      <c r="C51" s="40" t="inlineStr">
        <is>
          <t>PANEL ELEVATION @ GRID LINE - T</t>
        </is>
      </c>
      <c r="D51" s="40" t="inlineStr">
        <is>
          <t>Misc Metals</t>
        </is>
      </c>
      <c r="E51" s="41" t="inlineStr">
        <is>
          <t>1</t>
        </is>
      </c>
      <c r="F51" s="43" t="inlineStr">
        <is>
          <t>Released</t>
        </is>
      </c>
      <c r="G51" s="40" t="inlineStr">
        <is>
          <t>Panel Embeds - Bldg. 2</t>
        </is>
      </c>
      <c r="H51" s="53" t="n">
        <v>46104</v>
      </c>
      <c r="I51" s="53" t="n">
        <v>46153</v>
      </c>
      <c r="J51" s="41" t="inlineStr">
        <is>
          <t>No</t>
        </is>
      </c>
      <c r="K51" s="41" t="n">
        <v>0</v>
      </c>
      <c r="L51" s="2" t="n"/>
      <c r="M51" s="2" t="n"/>
      <c r="N51" s="2" t="n"/>
      <c r="O51" s="2" t="n"/>
    </row>
    <row r="52" ht="15" customHeight="1">
      <c r="A52" s="2" t="n"/>
      <c r="B52" s="46" t="inlineStr">
        <is>
          <t>102E124</t>
        </is>
      </c>
      <c r="C52" s="46" t="inlineStr">
        <is>
          <t>PANEL ELEVATION @ GRID LINE - U</t>
        </is>
      </c>
      <c r="D52" s="46" t="inlineStr">
        <is>
          <t>Misc Metals</t>
        </is>
      </c>
      <c r="E52" s="47" t="inlineStr">
        <is>
          <t>1</t>
        </is>
      </c>
      <c r="F52" s="43" t="inlineStr">
        <is>
          <t>Released</t>
        </is>
      </c>
      <c r="G52" s="46" t="inlineStr">
        <is>
          <t>Panel Embeds - Bldg. 2</t>
        </is>
      </c>
      <c r="H52" s="54" t="n">
        <v>46104</v>
      </c>
      <c r="I52" s="54" t="n">
        <v>46153</v>
      </c>
      <c r="J52" s="47" t="inlineStr">
        <is>
          <t>No</t>
        </is>
      </c>
      <c r="K52" s="47" t="n">
        <v>0</v>
      </c>
      <c r="L52" s="2" t="n"/>
      <c r="M52" s="2" t="n"/>
      <c r="N52" s="2" t="n"/>
      <c r="O52" s="2" t="n"/>
    </row>
    <row r="53" ht="15" customHeight="1">
      <c r="A53" s="2" t="n"/>
      <c r="B53" s="40" t="inlineStr">
        <is>
          <t>102E125</t>
        </is>
      </c>
      <c r="C53" s="40" t="inlineStr">
        <is>
          <t>PANEL ELEVATION @ GRID LINE - V</t>
        </is>
      </c>
      <c r="D53" s="40" t="inlineStr">
        <is>
          <t>Misc Metals</t>
        </is>
      </c>
      <c r="E53" s="41" t="inlineStr">
        <is>
          <t>1</t>
        </is>
      </c>
      <c r="F53" s="43" t="inlineStr">
        <is>
          <t>Released</t>
        </is>
      </c>
      <c r="G53" s="40" t="inlineStr">
        <is>
          <t>Panel Embeds - Bldg. 2</t>
        </is>
      </c>
      <c r="H53" s="53" t="n">
        <v>46104</v>
      </c>
      <c r="I53" s="53" t="n">
        <v>46153</v>
      </c>
      <c r="J53" s="41" t="inlineStr">
        <is>
          <t>No</t>
        </is>
      </c>
      <c r="K53" s="41" t="n">
        <v>0</v>
      </c>
      <c r="L53" s="2" t="n"/>
      <c r="M53" s="2" t="n"/>
      <c r="N53" s="2" t="n"/>
      <c r="O53" s="2" t="n"/>
    </row>
    <row r="54" ht="15" customHeight="1">
      <c r="A54" s="2" t="n"/>
      <c r="B54" s="46" t="inlineStr">
        <is>
          <t>102E126</t>
        </is>
      </c>
      <c r="C54" s="46" t="inlineStr">
        <is>
          <t>PANEL ELEVATION @ GRID LINE - W</t>
        </is>
      </c>
      <c r="D54" s="46" t="inlineStr">
        <is>
          <t>Misc Metals</t>
        </is>
      </c>
      <c r="E54" s="47" t="inlineStr">
        <is>
          <t>1</t>
        </is>
      </c>
      <c r="F54" s="43" t="inlineStr">
        <is>
          <t>Released</t>
        </is>
      </c>
      <c r="G54" s="46" t="inlineStr">
        <is>
          <t>Panel Embeds - Bldg. 2</t>
        </is>
      </c>
      <c r="H54" s="54" t="n">
        <v>46104</v>
      </c>
      <c r="I54" s="54" t="n">
        <v>46153</v>
      </c>
      <c r="J54" s="47" t="inlineStr">
        <is>
          <t>No</t>
        </is>
      </c>
      <c r="K54" s="47" t="n">
        <v>0</v>
      </c>
      <c r="L54" s="2" t="n"/>
      <c r="M54" s="2" t="n"/>
      <c r="N54" s="2" t="n"/>
      <c r="O54" s="2" t="n"/>
    </row>
    <row r="55" ht="15" customHeight="1">
      <c r="A55" s="2" t="n"/>
      <c r="B55" s="40" t="inlineStr">
        <is>
          <t>102E127</t>
        </is>
      </c>
      <c r="C55" s="40" t="inlineStr">
        <is>
          <t>PANEL ELEVATION @ GRID LINE - X</t>
        </is>
      </c>
      <c r="D55" s="40" t="inlineStr">
        <is>
          <t>Misc Metals</t>
        </is>
      </c>
      <c r="E55" s="41" t="inlineStr">
        <is>
          <t>1</t>
        </is>
      </c>
      <c r="F55" s="43" t="inlineStr">
        <is>
          <t>Released</t>
        </is>
      </c>
      <c r="G55" s="40" t="inlineStr">
        <is>
          <t>Panel Embeds - Bldg. 2</t>
        </is>
      </c>
      <c r="H55" s="53" t="n">
        <v>46104</v>
      </c>
      <c r="I55" s="53" t="n">
        <v>46153</v>
      </c>
      <c r="J55" s="41" t="inlineStr">
        <is>
          <t>No</t>
        </is>
      </c>
      <c r="K55" s="41" t="n">
        <v>0</v>
      </c>
      <c r="L55" s="2" t="n"/>
      <c r="M55" s="2" t="n"/>
      <c r="N55" s="2" t="n"/>
      <c r="O55" s="2" t="n"/>
    </row>
    <row r="56" ht="15" customHeight="1">
      <c r="A56" s="2" t="n"/>
      <c r="B56" s="46" t="inlineStr">
        <is>
          <t>102E128</t>
        </is>
      </c>
      <c r="C56" s="46" t="inlineStr">
        <is>
          <t>PANEL ELEVATION @ GRID LINE - Y</t>
        </is>
      </c>
      <c r="D56" s="46" t="inlineStr">
        <is>
          <t>Misc Metals</t>
        </is>
      </c>
      <c r="E56" s="47" t="inlineStr">
        <is>
          <t>1</t>
        </is>
      </c>
      <c r="F56" s="43" t="inlineStr">
        <is>
          <t>Released</t>
        </is>
      </c>
      <c r="G56" s="46" t="inlineStr">
        <is>
          <t>Panel Embeds - Bldg. 2</t>
        </is>
      </c>
      <c r="H56" s="54" t="n">
        <v>46104</v>
      </c>
      <c r="I56" s="54" t="n">
        <v>46153</v>
      </c>
      <c r="J56" s="47" t="inlineStr">
        <is>
          <t>No</t>
        </is>
      </c>
      <c r="K56" s="47" t="n">
        <v>0</v>
      </c>
      <c r="L56" s="2" t="n"/>
      <c r="M56" s="2" t="n"/>
      <c r="N56" s="2" t="n"/>
      <c r="O56" s="2" t="n"/>
    </row>
    <row r="57" ht="15" customHeight="1">
      <c r="A57" s="2" t="n"/>
      <c r="B57" s="40" t="inlineStr">
        <is>
          <t>102E129</t>
        </is>
      </c>
      <c r="C57" s="40" t="inlineStr">
        <is>
          <t>PANEL ELEVATION @ GRID LINE - Z</t>
        </is>
      </c>
      <c r="D57" s="40" t="inlineStr">
        <is>
          <t>Misc Metals</t>
        </is>
      </c>
      <c r="E57" s="41" t="inlineStr">
        <is>
          <t>1</t>
        </is>
      </c>
      <c r="F57" s="43" t="inlineStr">
        <is>
          <t>Released</t>
        </is>
      </c>
      <c r="G57" s="40" t="inlineStr">
        <is>
          <t>Panel Embeds - Bldg. 2</t>
        </is>
      </c>
      <c r="H57" s="53" t="n">
        <v>46104</v>
      </c>
      <c r="I57" s="53" t="n">
        <v>46153</v>
      </c>
      <c r="J57" s="41" t="inlineStr">
        <is>
          <t>No</t>
        </is>
      </c>
      <c r="K57" s="41" t="n">
        <v>0</v>
      </c>
      <c r="L57" s="2" t="n"/>
      <c r="M57" s="2" t="n"/>
      <c r="N57" s="2" t="n"/>
      <c r="O57" s="2" t="n"/>
    </row>
    <row r="58" ht="15" customHeight="1">
      <c r="A58" s="2" t="n"/>
      <c r="B58" s="46" t="inlineStr">
        <is>
          <t>102E130</t>
        </is>
      </c>
      <c r="C58" s="46" t="inlineStr">
        <is>
          <t>PANEL ELEVATION @ GRID LINE - AA</t>
        </is>
      </c>
      <c r="D58" s="46" t="inlineStr">
        <is>
          <t>Misc Metals</t>
        </is>
      </c>
      <c r="E58" s="47" t="inlineStr">
        <is>
          <t>1</t>
        </is>
      </c>
      <c r="F58" s="43" t="inlineStr">
        <is>
          <t>Released</t>
        </is>
      </c>
      <c r="G58" s="46" t="inlineStr">
        <is>
          <t>Panel Embeds - Bldg. 2</t>
        </is>
      </c>
      <c r="H58" s="54" t="n">
        <v>46104</v>
      </c>
      <c r="I58" s="54" t="n">
        <v>46153</v>
      </c>
      <c r="J58" s="47" t="inlineStr">
        <is>
          <t>No</t>
        </is>
      </c>
      <c r="K58" s="47" t="n">
        <v>0</v>
      </c>
      <c r="L58" s="2" t="n"/>
      <c r="M58" s="2" t="n"/>
      <c r="N58" s="2" t="n"/>
      <c r="O58" s="2" t="n"/>
    </row>
    <row r="59" ht="15" customHeight="1">
      <c r="A59" s="2" t="n"/>
      <c r="B59" s="40" t="inlineStr">
        <is>
          <t>102E151</t>
        </is>
      </c>
      <c r="C59" s="40" t="inlineStr">
        <is>
          <t>PARTIAL PANEL EMBED MISC. LAYOUT PLAN@BLDG 2</t>
        </is>
      </c>
      <c r="D59" s="40" t="inlineStr">
        <is>
          <t>Misc Metals</t>
        </is>
      </c>
      <c r="E59" s="41" t="inlineStr">
        <is>
          <t>1</t>
        </is>
      </c>
      <c r="F59" s="43" t="inlineStr">
        <is>
          <t>Released</t>
        </is>
      </c>
      <c r="G59" s="40" t="inlineStr">
        <is>
          <t>Panel Embeds - Bldg. 2</t>
        </is>
      </c>
      <c r="H59" s="53" t="n">
        <v>46104</v>
      </c>
      <c r="I59" s="53" t="n">
        <v>46153</v>
      </c>
      <c r="J59" s="41" t="inlineStr">
        <is>
          <t>No</t>
        </is>
      </c>
      <c r="K59" s="41" t="n">
        <v>0</v>
      </c>
      <c r="L59" s="2" t="n"/>
      <c r="M59" s="2" t="n"/>
      <c r="N59" s="2" t="n"/>
      <c r="O59" s="2" t="n"/>
    </row>
    <row r="60" ht="15" customHeight="1">
      <c r="A60" s="2" t="n"/>
      <c r="B60" s="46" t="inlineStr">
        <is>
          <t>102E152</t>
        </is>
      </c>
      <c r="C60" s="46" t="inlineStr">
        <is>
          <t>PARTIAL PANEL EMBED MISC. LAYOUT PLAN@BLDG 2</t>
        </is>
      </c>
      <c r="D60" s="46" t="inlineStr">
        <is>
          <t>Misc Metals</t>
        </is>
      </c>
      <c r="E60" s="47" t="inlineStr">
        <is>
          <t>1</t>
        </is>
      </c>
      <c r="F60" s="43" t="inlineStr">
        <is>
          <t>Released</t>
        </is>
      </c>
      <c r="G60" s="46" t="inlineStr">
        <is>
          <t>Panel Embeds - Bldg. 2</t>
        </is>
      </c>
      <c r="H60" s="54" t="n">
        <v>46104</v>
      </c>
      <c r="I60" s="54" t="n">
        <v>46153</v>
      </c>
      <c r="J60" s="47" t="inlineStr">
        <is>
          <t>No</t>
        </is>
      </c>
      <c r="K60" s="47" t="n">
        <v>0</v>
      </c>
      <c r="L60" s="2" t="n"/>
      <c r="M60" s="2" t="n"/>
      <c r="N60" s="2" t="n"/>
      <c r="O60" s="2" t="n"/>
    </row>
    <row r="61" ht="15" customHeight="1">
      <c r="A61" s="2" t="n"/>
      <c r="B61" s="40" t="inlineStr">
        <is>
          <t>102E153</t>
        </is>
      </c>
      <c r="C61" s="40" t="inlineStr">
        <is>
          <t>PANEL EMBED MISC.ELEVATION @ BLDG.2</t>
        </is>
      </c>
      <c r="D61" s="40" t="inlineStr">
        <is>
          <t>Misc Metals</t>
        </is>
      </c>
      <c r="E61" s="41" t="inlineStr">
        <is>
          <t>1</t>
        </is>
      </c>
      <c r="F61" s="43" t="inlineStr">
        <is>
          <t>Released</t>
        </is>
      </c>
      <c r="G61" s="40" t="inlineStr">
        <is>
          <t>Panel Embeds - Bldg. 2</t>
        </is>
      </c>
      <c r="H61" s="53" t="n">
        <v>46104</v>
      </c>
      <c r="I61" s="53" t="n">
        <v>46153</v>
      </c>
      <c r="J61" s="41" t="inlineStr">
        <is>
          <t>No</t>
        </is>
      </c>
      <c r="K61" s="41" t="n">
        <v>0</v>
      </c>
      <c r="L61" s="2" t="n"/>
      <c r="M61" s="2" t="n"/>
      <c r="N61" s="2" t="n"/>
      <c r="O61" s="2" t="n"/>
    </row>
    <row r="62" ht="15" customHeight="1">
      <c r="A62" s="2" t="n"/>
      <c r="B62" s="46" t="inlineStr">
        <is>
          <t>102E154</t>
        </is>
      </c>
      <c r="C62" s="46" t="inlineStr">
        <is>
          <t>PANEL EMBED MISC.ELEVATION @ BLDG.2</t>
        </is>
      </c>
      <c r="D62" s="46" t="inlineStr">
        <is>
          <t>Misc Metals</t>
        </is>
      </c>
      <c r="E62" s="47" t="inlineStr">
        <is>
          <t>1</t>
        </is>
      </c>
      <c r="F62" s="43" t="inlineStr">
        <is>
          <t>Released</t>
        </is>
      </c>
      <c r="G62" s="46" t="inlineStr">
        <is>
          <t>Panel Embeds - Bldg. 2</t>
        </is>
      </c>
      <c r="H62" s="54" t="n">
        <v>46104</v>
      </c>
      <c r="I62" s="54" t="n">
        <v>46153</v>
      </c>
      <c r="J62" s="47" t="inlineStr">
        <is>
          <t>No</t>
        </is>
      </c>
      <c r="K62" s="47" t="n">
        <v>0</v>
      </c>
      <c r="L62" s="2" t="n"/>
      <c r="M62" s="2" t="n"/>
      <c r="N62" s="2" t="n"/>
      <c r="O62" s="2" t="n"/>
    </row>
    <row r="63" ht="15" customHeight="1">
      <c r="A63" s="2" t="n"/>
      <c r="B63" s="40" t="inlineStr">
        <is>
          <t>102E155</t>
        </is>
      </c>
      <c r="C63" s="40" t="inlineStr">
        <is>
          <t>PANEL EMBED MISC.ELEVATION @ BLDG.2</t>
        </is>
      </c>
      <c r="D63" s="40" t="inlineStr">
        <is>
          <t>Misc Metals</t>
        </is>
      </c>
      <c r="E63" s="41" t="inlineStr">
        <is>
          <t>1</t>
        </is>
      </c>
      <c r="F63" s="43" t="inlineStr">
        <is>
          <t>Released</t>
        </is>
      </c>
      <c r="G63" s="40" t="inlineStr">
        <is>
          <t>Panel Embeds - Bldg. 2</t>
        </is>
      </c>
      <c r="H63" s="53" t="n">
        <v>46104</v>
      </c>
      <c r="I63" s="53" t="n">
        <v>46153</v>
      </c>
      <c r="J63" s="41" t="inlineStr">
        <is>
          <t>No</t>
        </is>
      </c>
      <c r="K63" s="41" t="n">
        <v>0</v>
      </c>
      <c r="L63" s="2" t="n"/>
      <c r="M63" s="2" t="n"/>
      <c r="N63" s="2" t="n"/>
      <c r="O63" s="2" t="n"/>
    </row>
    <row r="64" ht="15" customHeight="1">
      <c r="A64" s="2" t="n"/>
      <c r="B64" s="46" t="inlineStr">
        <is>
          <t>102E156</t>
        </is>
      </c>
      <c r="C64" s="46" t="inlineStr">
        <is>
          <t>PANEL EMBED MISC.ELEVATION @ BLDG.2</t>
        </is>
      </c>
      <c r="D64" s="46" t="inlineStr">
        <is>
          <t>Misc Metals</t>
        </is>
      </c>
      <c r="E64" s="47" t="inlineStr">
        <is>
          <t>1</t>
        </is>
      </c>
      <c r="F64" s="43" t="inlineStr">
        <is>
          <t>Released</t>
        </is>
      </c>
      <c r="G64" s="46" t="inlineStr">
        <is>
          <t>Panel Embeds - Bldg. 2</t>
        </is>
      </c>
      <c r="H64" s="54" t="n">
        <v>46104</v>
      </c>
      <c r="I64" s="54" t="n">
        <v>46153</v>
      </c>
      <c r="J64" s="47" t="inlineStr">
        <is>
          <t>No</t>
        </is>
      </c>
      <c r="K64" s="47" t="n">
        <v>0</v>
      </c>
      <c r="L64" s="2" t="n"/>
      <c r="M64" s="2" t="n"/>
      <c r="N64" s="2" t="n"/>
      <c r="O64" s="2" t="n"/>
    </row>
    <row r="65" ht="15" customHeight="1">
      <c r="A65" s="2" t="n"/>
      <c r="B65" s="40" t="inlineStr">
        <is>
          <t>102E157</t>
        </is>
      </c>
      <c r="C65" s="40" t="inlineStr">
        <is>
          <t>PANEL EMBED MISC.ELEVATION @ BLDG.2</t>
        </is>
      </c>
      <c r="D65" s="40" t="inlineStr">
        <is>
          <t>Misc Metals</t>
        </is>
      </c>
      <c r="E65" s="41" t="inlineStr">
        <is>
          <t>1</t>
        </is>
      </c>
      <c r="F65" s="43" t="inlineStr">
        <is>
          <t>Released</t>
        </is>
      </c>
      <c r="G65" s="40" t="inlineStr">
        <is>
          <t>Panel Embeds - Bldg. 2</t>
        </is>
      </c>
      <c r="H65" s="53" t="n">
        <v>46104</v>
      </c>
      <c r="I65" s="53" t="n">
        <v>46153</v>
      </c>
      <c r="J65" s="41" t="inlineStr">
        <is>
          <t>No</t>
        </is>
      </c>
      <c r="K65" s="41" t="n">
        <v>0</v>
      </c>
      <c r="L65" s="2" t="n"/>
      <c r="M65" s="2" t="n"/>
      <c r="N65" s="2" t="n"/>
      <c r="O65" s="2" t="n"/>
    </row>
    <row r="66" ht="15" customHeight="1">
      <c r="A66" s="2" t="n"/>
      <c r="B66" s="46" t="inlineStr">
        <is>
          <t>102E158</t>
        </is>
      </c>
      <c r="C66" s="46" t="inlineStr">
        <is>
          <t>EMBED MISC DETAIL &amp; SECTION @ BLDG.2</t>
        </is>
      </c>
      <c r="D66" s="46" t="inlineStr">
        <is>
          <t>Misc Metals</t>
        </is>
      </c>
      <c r="E66" s="47" t="inlineStr">
        <is>
          <t>1</t>
        </is>
      </c>
      <c r="F66" s="43" t="inlineStr">
        <is>
          <t>Released</t>
        </is>
      </c>
      <c r="G66" s="46" t="inlineStr">
        <is>
          <t>Panel Embeds - Bldg. 2</t>
        </is>
      </c>
      <c r="H66" s="54" t="n">
        <v>46104</v>
      </c>
      <c r="I66" s="54" t="n">
        <v>46153</v>
      </c>
      <c r="J66" s="47" t="inlineStr">
        <is>
          <t>No</t>
        </is>
      </c>
      <c r="K66" s="47" t="n">
        <v>0</v>
      </c>
      <c r="L66" s="2" t="n"/>
      <c r="M66" s="2" t="n"/>
      <c r="N66" s="2" t="n"/>
      <c r="O66" s="2" t="n"/>
    </row>
    <row r="67" ht="15" customHeight="1">
      <c r="A67" s="2" t="n"/>
      <c r="B67" s="40" t="inlineStr">
        <is>
          <t>102TP101</t>
        </is>
      </c>
      <c r="C67" s="40" t="inlineStr">
        <is>
          <t>TEMPLATE</t>
        </is>
      </c>
      <c r="D67" s="40" t="inlineStr">
        <is>
          <t>Structural</t>
        </is>
      </c>
      <c r="E67" s="41" t="inlineStr">
        <is>
          <t>1</t>
        </is>
      </c>
      <c r="F67" s="43" t="inlineStr">
        <is>
          <t>Released</t>
        </is>
      </c>
      <c r="G67" s="40" t="inlineStr">
        <is>
          <t>Anchor Bolts - Bldg. 1 &amp; 2</t>
        </is>
      </c>
      <c r="H67" s="53" t="n">
        <v>46077</v>
      </c>
      <c r="I67" s="53" t="n">
        <v>46114</v>
      </c>
      <c r="J67" s="41" t="inlineStr">
        <is>
          <t>No</t>
        </is>
      </c>
      <c r="K67" s="41" t="n">
        <v>0</v>
      </c>
      <c r="L67" s="2" t="n"/>
      <c r="M67" s="2" t="n"/>
      <c r="N67" s="2" t="n"/>
      <c r="O67" s="2" t="n"/>
    </row>
    <row r="68" ht="15" customHeight="1">
      <c r="A68" s="2" t="n"/>
      <c r="B68" s="46" t="inlineStr">
        <is>
          <t>102TP102</t>
        </is>
      </c>
      <c r="C68" s="46" t="inlineStr">
        <is>
          <t>TEMPLATE</t>
        </is>
      </c>
      <c r="D68" s="46" t="inlineStr">
        <is>
          <t>Structural</t>
        </is>
      </c>
      <c r="E68" s="47" t="inlineStr">
        <is>
          <t>1</t>
        </is>
      </c>
      <c r="F68" s="43" t="inlineStr">
        <is>
          <t>Released</t>
        </is>
      </c>
      <c r="G68" s="46" t="inlineStr">
        <is>
          <t>Anchor Bolts - Bldg. 1 &amp; 2</t>
        </is>
      </c>
      <c r="H68" s="54" t="n">
        <v>46077</v>
      </c>
      <c r="I68" s="54" t="n">
        <v>46114</v>
      </c>
      <c r="J68" s="47" t="inlineStr">
        <is>
          <t>No</t>
        </is>
      </c>
      <c r="K68" s="47" t="n">
        <v>0</v>
      </c>
      <c r="L68" s="2" t="n"/>
      <c r="M68" s="2" t="n"/>
      <c r="N68" s="2" t="n"/>
      <c r="O68" s="2" t="n"/>
    </row>
    <row r="69" ht="15" customHeight="1">
      <c r="A69" s="2" t="n"/>
      <c r="B69" s="40" t="inlineStr">
        <is>
          <t>102TP103</t>
        </is>
      </c>
      <c r="C69" s="40" t="inlineStr">
        <is>
          <t>TEMPLATE</t>
        </is>
      </c>
      <c r="D69" s="40" t="inlineStr">
        <is>
          <t>Structural</t>
        </is>
      </c>
      <c r="E69" s="41" t="inlineStr">
        <is>
          <t>1</t>
        </is>
      </c>
      <c r="F69" s="43" t="inlineStr">
        <is>
          <t>Released</t>
        </is>
      </c>
      <c r="G69" s="40" t="inlineStr">
        <is>
          <t>Anchor Bolts - Bldg. 1 &amp; 2</t>
        </is>
      </c>
      <c r="H69" s="53" t="n">
        <v>46077</v>
      </c>
      <c r="I69" s="53" t="n">
        <v>46114</v>
      </c>
      <c r="J69" s="41" t="inlineStr">
        <is>
          <t>No</t>
        </is>
      </c>
      <c r="K69" s="41" t="n">
        <v>0</v>
      </c>
      <c r="L69" s="2" t="n"/>
      <c r="M69" s="2" t="n"/>
      <c r="N69" s="2" t="n"/>
      <c r="O69" s="2" t="n"/>
    </row>
    <row r="70" ht="15" customHeight="1">
      <c r="A70" s="2" t="n"/>
      <c r="B70" s="46" t="inlineStr">
        <is>
          <t>102TP104</t>
        </is>
      </c>
      <c r="C70" s="46" t="inlineStr">
        <is>
          <t>TEMPLATE</t>
        </is>
      </c>
      <c r="D70" s="46" t="inlineStr">
        <is>
          <t>Structural</t>
        </is>
      </c>
      <c r="E70" s="47" t="inlineStr">
        <is>
          <t>1</t>
        </is>
      </c>
      <c r="F70" s="43" t="inlineStr">
        <is>
          <t>Released</t>
        </is>
      </c>
      <c r="G70" s="46" t="inlineStr">
        <is>
          <t>Anchor Bolts - Bldg. 1 &amp; 2</t>
        </is>
      </c>
      <c r="H70" s="54" t="n">
        <v>46077</v>
      </c>
      <c r="I70" s="54" t="n">
        <v>46114</v>
      </c>
      <c r="J70" s="47" t="inlineStr">
        <is>
          <t>No</t>
        </is>
      </c>
      <c r="K70" s="47" t="n">
        <v>0</v>
      </c>
      <c r="L70" s="2" t="n"/>
      <c r="M70" s="2" t="n"/>
      <c r="N70" s="2" t="n"/>
      <c r="O70" s="2" t="n"/>
    </row>
    <row r="71" ht="15" customHeight="1">
      <c r="A71" s="2" t="n"/>
      <c r="B71" s="40" t="inlineStr">
        <is>
          <t>102TP105</t>
        </is>
      </c>
      <c r="C71" s="40" t="inlineStr">
        <is>
          <t>TEMPLATE</t>
        </is>
      </c>
      <c r="D71" s="40" t="inlineStr">
        <is>
          <t>Structural</t>
        </is>
      </c>
      <c r="E71" s="41" t="inlineStr">
        <is>
          <t>1</t>
        </is>
      </c>
      <c r="F71" s="43" t="inlineStr">
        <is>
          <t>Released</t>
        </is>
      </c>
      <c r="G71" s="40" t="inlineStr">
        <is>
          <t>Anchor Bolts - Bldg. 1 &amp; 2</t>
        </is>
      </c>
      <c r="H71" s="53" t="n">
        <v>46077</v>
      </c>
      <c r="I71" s="53" t="n">
        <v>46114</v>
      </c>
      <c r="J71" s="41" t="inlineStr">
        <is>
          <t>No</t>
        </is>
      </c>
      <c r="K71" s="41" t="n">
        <v>0</v>
      </c>
      <c r="L71" s="2" t="n"/>
      <c r="M71" s="2" t="n"/>
      <c r="N71" s="2" t="n"/>
      <c r="O71" s="2" t="n"/>
    </row>
    <row r="72" ht="15" customHeight="1">
      <c r="A72" s="2" t="n"/>
      <c r="B72" s="46" t="inlineStr">
        <is>
          <t>102TP106</t>
        </is>
      </c>
      <c r="C72" s="46" t="inlineStr">
        <is>
          <t>TEMPLATE</t>
        </is>
      </c>
      <c r="D72" s="46" t="inlineStr">
        <is>
          <t>Structural</t>
        </is>
      </c>
      <c r="E72" s="47" t="inlineStr">
        <is>
          <t>1</t>
        </is>
      </c>
      <c r="F72" s="43" t="inlineStr">
        <is>
          <t>Released</t>
        </is>
      </c>
      <c r="G72" s="46" t="inlineStr">
        <is>
          <t>Anchor Bolts - Bldg. 1 &amp; 2</t>
        </is>
      </c>
      <c r="H72" s="54" t="n">
        <v>46077</v>
      </c>
      <c r="I72" s="54" t="n">
        <v>46114</v>
      </c>
      <c r="J72" s="47" t="inlineStr">
        <is>
          <t>No</t>
        </is>
      </c>
      <c r="K72" s="47" t="n">
        <v>0</v>
      </c>
      <c r="L72" s="2" t="n"/>
      <c r="M72" s="2" t="n"/>
      <c r="N72" s="2" t="n"/>
      <c r="O72" s="2" t="n"/>
    </row>
    <row r="73" ht="15" customHeight="1">
      <c r="A73" s="2" t="n"/>
      <c r="B73" s="40" t="inlineStr">
        <is>
          <t>102TP107</t>
        </is>
      </c>
      <c r="C73" s="40" t="inlineStr">
        <is>
          <t>TEMPLATE</t>
        </is>
      </c>
      <c r="D73" s="40" t="inlineStr">
        <is>
          <t>Structural</t>
        </is>
      </c>
      <c r="E73" s="41" t="inlineStr">
        <is>
          <t>1</t>
        </is>
      </c>
      <c r="F73" s="55" t="inlineStr">
        <is>
          <t>OFS</t>
        </is>
      </c>
      <c r="G73" s="40" t="inlineStr">
        <is>
          <t>Anchor Bolts - Bldg. 1 &amp; 2</t>
        </is>
      </c>
      <c r="H73" s="53" t="n">
        <v>46077</v>
      </c>
      <c r="I73" s="53" t="n">
        <v>46114</v>
      </c>
      <c r="J73" s="41" t="inlineStr">
        <is>
          <t>No</t>
        </is>
      </c>
      <c r="K73" s="41" t="n">
        <v>0</v>
      </c>
      <c r="L73" s="2" t="n"/>
      <c r="M73" s="2" t="n"/>
      <c r="N73" s="2" t="n"/>
      <c r="O73" s="2" t="n"/>
    </row>
    <row r="74" ht="15" customHeight="1">
      <c r="A74" s="2" t="n"/>
      <c r="B74" s="46" t="inlineStr">
        <is>
          <t>501E101</t>
        </is>
      </c>
      <c r="C74" s="46" t="inlineStr">
        <is>
          <t>PARTIAL MAIN STEEL FRAMING PLAN @ BLDG.1</t>
        </is>
      </c>
      <c r="D74" s="46" t="inlineStr">
        <is>
          <t>Structural</t>
        </is>
      </c>
      <c r="E74" s="47" t="inlineStr">
        <is>
          <t>1</t>
        </is>
      </c>
      <c r="F74" s="43" t="inlineStr">
        <is>
          <t>Released</t>
        </is>
      </c>
      <c r="G74" s="46" t="inlineStr">
        <is>
          <t>Main Steel - Bldg. 1</t>
        </is>
      </c>
      <c r="H74" s="54" t="n">
        <v>46112</v>
      </c>
      <c r="I74" s="54" t="n">
        <v>46121</v>
      </c>
      <c r="J74" s="47" t="inlineStr">
        <is>
          <t>No</t>
        </is>
      </c>
      <c r="K74" s="47" t="n">
        <v>0</v>
      </c>
      <c r="L74" s="2" t="n"/>
      <c r="M74" s="2" t="n"/>
      <c r="N74" s="2" t="n"/>
      <c r="O74" s="2" t="n"/>
    </row>
    <row r="75" ht="15" customHeight="1">
      <c r="A75" s="2" t="n"/>
      <c r="B75" s="40" t="inlineStr">
        <is>
          <t>501E102</t>
        </is>
      </c>
      <c r="C75" s="40" t="inlineStr">
        <is>
          <t>PARTIAL MAIN STEEL FRAMING PLAN @ BLDG.1</t>
        </is>
      </c>
      <c r="D75" s="40" t="inlineStr">
        <is>
          <t>Structural</t>
        </is>
      </c>
      <c r="E75" s="41" t="inlineStr">
        <is>
          <t>1</t>
        </is>
      </c>
      <c r="F75" s="43" t="inlineStr">
        <is>
          <t>Released</t>
        </is>
      </c>
      <c r="G75" s="40" t="inlineStr">
        <is>
          <t>Main Steel - Bldg. 1</t>
        </is>
      </c>
      <c r="H75" s="53" t="n">
        <v>46112</v>
      </c>
      <c r="I75" s="53" t="n">
        <v>46121</v>
      </c>
      <c r="J75" s="41" t="inlineStr">
        <is>
          <t>No</t>
        </is>
      </c>
      <c r="K75" s="41" t="n">
        <v>0</v>
      </c>
      <c r="L75" s="2" t="n"/>
      <c r="M75" s="2" t="n"/>
      <c r="N75" s="2" t="n"/>
      <c r="O75" s="2" t="n"/>
    </row>
    <row r="76" ht="15" customHeight="1">
      <c r="A76" s="2" t="n"/>
      <c r="B76" s="46" t="inlineStr">
        <is>
          <t>501E103</t>
        </is>
      </c>
      <c r="C76" s="46" t="inlineStr">
        <is>
          <t>PARTIAL MAIN STEEL FRAMING PLAN @ BLDG.1</t>
        </is>
      </c>
      <c r="D76" s="46" t="inlineStr">
        <is>
          <t>Structural</t>
        </is>
      </c>
      <c r="E76" s="47" t="inlineStr">
        <is>
          <t>1</t>
        </is>
      </c>
      <c r="F76" s="43" t="inlineStr">
        <is>
          <t>Released</t>
        </is>
      </c>
      <c r="G76" s="46" t="inlineStr">
        <is>
          <t>Main Steel - Bldg. 1</t>
        </is>
      </c>
      <c r="H76" s="54" t="n">
        <v>46112</v>
      </c>
      <c r="I76" s="54" t="n">
        <v>46121</v>
      </c>
      <c r="J76" s="47" t="inlineStr">
        <is>
          <t>No</t>
        </is>
      </c>
      <c r="K76" s="47" t="n">
        <v>0</v>
      </c>
      <c r="L76" s="2" t="n"/>
      <c r="M76" s="2" t="n"/>
      <c r="N76" s="2" t="n"/>
      <c r="O76" s="2" t="n"/>
    </row>
    <row r="77" ht="15" customHeight="1">
      <c r="A77" s="2" t="n"/>
      <c r="B77" s="40" t="inlineStr">
        <is>
          <t>501E109</t>
        </is>
      </c>
      <c r="C77" s="40" t="inlineStr">
        <is>
          <t>DETAILS AND SECTION @ BLDG.1</t>
        </is>
      </c>
      <c r="D77" s="40" t="inlineStr">
        <is>
          <t>Structural</t>
        </is>
      </c>
      <c r="E77" s="41" t="inlineStr">
        <is>
          <t>1</t>
        </is>
      </c>
      <c r="F77" s="43" t="inlineStr">
        <is>
          <t>Released</t>
        </is>
      </c>
      <c r="G77" s="40" t="inlineStr">
        <is>
          <t>Main Steel - Bldg. 1</t>
        </is>
      </c>
      <c r="H77" s="53" t="n">
        <v>46112</v>
      </c>
      <c r="I77" s="53" t="n">
        <v>46121</v>
      </c>
      <c r="J77" s="41" t="inlineStr">
        <is>
          <t>No</t>
        </is>
      </c>
      <c r="K77" s="41" t="n">
        <v>0</v>
      </c>
      <c r="L77" s="2" t="n"/>
      <c r="M77" s="2" t="n"/>
      <c r="N77" s="2" t="n"/>
      <c r="O77" s="2" t="n"/>
    </row>
    <row r="78" ht="15" customHeight="1">
      <c r="A78" s="2" t="n"/>
      <c r="B78" s="46" t="inlineStr">
        <is>
          <t>501E110</t>
        </is>
      </c>
      <c r="C78" s="46" t="inlineStr">
        <is>
          <t>DETAILS AND SECTION @ BLDG.1</t>
        </is>
      </c>
      <c r="D78" s="46" t="inlineStr">
        <is>
          <t>Structural</t>
        </is>
      </c>
      <c r="E78" s="47" t="inlineStr">
        <is>
          <t>1</t>
        </is>
      </c>
      <c r="F78" s="43" t="inlineStr">
        <is>
          <t>Released</t>
        </is>
      </c>
      <c r="G78" s="46" t="inlineStr">
        <is>
          <t>Main Steel - Bldg. 1</t>
        </is>
      </c>
      <c r="H78" s="54" t="n">
        <v>46112</v>
      </c>
      <c r="I78" s="54" t="n">
        <v>46121</v>
      </c>
      <c r="J78" s="47" t="inlineStr">
        <is>
          <t>No</t>
        </is>
      </c>
      <c r="K78" s="47" t="n">
        <v>0</v>
      </c>
      <c r="L78" s="2" t="n"/>
      <c r="M78" s="2" t="n"/>
      <c r="N78" s="2" t="n"/>
      <c r="O78" s="2" t="n"/>
    </row>
    <row r="79" ht="15" customHeight="1">
      <c r="A79" s="2" t="n"/>
      <c r="B79" s="40" t="inlineStr">
        <is>
          <t>501E111</t>
        </is>
      </c>
      <c r="C79" s="40" t="inlineStr">
        <is>
          <t>DETAILS AND SECTION @ BLDG.1</t>
        </is>
      </c>
      <c r="D79" s="40" t="inlineStr">
        <is>
          <t>Structural</t>
        </is>
      </c>
      <c r="E79" s="41" t="inlineStr">
        <is>
          <t>1</t>
        </is>
      </c>
      <c r="F79" s="43" t="inlineStr">
        <is>
          <t>Released</t>
        </is>
      </c>
      <c r="G79" s="40" t="inlineStr">
        <is>
          <t>Main Steel - Bldg. 1</t>
        </is>
      </c>
      <c r="H79" s="53" t="n">
        <v>46112</v>
      </c>
      <c r="I79" s="53" t="n">
        <v>46121</v>
      </c>
      <c r="J79" s="41" t="inlineStr">
        <is>
          <t>No</t>
        </is>
      </c>
      <c r="K79" s="41" t="n">
        <v>0</v>
      </c>
      <c r="L79" s="2" t="n"/>
      <c r="M79" s="2" t="n"/>
      <c r="N79" s="2" t="n"/>
      <c r="O79" s="2" t="n"/>
    </row>
    <row r="80" ht="15" customHeight="1">
      <c r="A80" s="2" t="n"/>
      <c r="B80" s="46" t="inlineStr">
        <is>
          <t>501E151</t>
        </is>
      </c>
      <c r="C80" s="46" t="inlineStr">
        <is>
          <t>WEDGE CANOPY ISOMETRIC VIEW</t>
        </is>
      </c>
      <c r="D80" s="46" t="inlineStr">
        <is>
          <t>Misc Metals</t>
        </is>
      </c>
      <c r="E80" s="47" t="inlineStr">
        <is>
          <t>A</t>
        </is>
      </c>
      <c r="F80" s="43" t="inlineStr">
        <is>
          <t>Released</t>
        </is>
      </c>
      <c r="G80" s="46" t="inlineStr">
        <is>
          <t>Wedge Canopy Mockups</t>
        </is>
      </c>
      <c r="H80" s="47" t="inlineStr"/>
      <c r="I80" s="47" t="inlineStr"/>
      <c r="J80" s="47" t="inlineStr">
        <is>
          <t>No</t>
        </is>
      </c>
      <c r="K80" s="47" t="n">
        <v>0</v>
      </c>
      <c r="L80" s="2" t="n"/>
      <c r="M80" s="2" t="n"/>
      <c r="N80" s="2" t="n"/>
      <c r="O80" s="2" t="n"/>
    </row>
    <row r="81" ht="15" customHeight="1">
      <c r="A81" s="2" t="n"/>
      <c r="B81" s="40" t="inlineStr">
        <is>
          <t>501E152</t>
        </is>
      </c>
      <c r="C81" s="40" t="inlineStr">
        <is>
          <t>WEDGE CANOPY FRAMING PLANS @ BLDG.1</t>
        </is>
      </c>
      <c r="D81" s="40" t="inlineStr">
        <is>
          <t>Misc Metals</t>
        </is>
      </c>
      <c r="E81" s="41" t="inlineStr">
        <is>
          <t>A</t>
        </is>
      </c>
      <c r="F81" s="43" t="inlineStr">
        <is>
          <t>Released</t>
        </is>
      </c>
      <c r="G81" s="40" t="inlineStr">
        <is>
          <t>Wedge Canopy Mockups</t>
        </is>
      </c>
      <c r="H81" s="41" t="inlineStr"/>
      <c r="I81" s="41" t="inlineStr"/>
      <c r="J81" s="41" t="inlineStr">
        <is>
          <t>No</t>
        </is>
      </c>
      <c r="K81" s="41" t="n">
        <v>0</v>
      </c>
      <c r="L81" s="2" t="n"/>
      <c r="M81" s="2" t="n"/>
      <c r="N81" s="2" t="n"/>
      <c r="O81" s="2" t="n"/>
    </row>
    <row r="82" ht="15" customHeight="1">
      <c r="A82" s="2" t="n"/>
      <c r="B82" s="46" t="inlineStr">
        <is>
          <t>501E155</t>
        </is>
      </c>
      <c r="C82" s="46" t="inlineStr">
        <is>
          <t>ISOMETRIC DETAILS @ CORNER</t>
        </is>
      </c>
      <c r="D82" s="46" t="inlineStr">
        <is>
          <t>Misc Metals</t>
        </is>
      </c>
      <c r="E82" s="47" t="inlineStr">
        <is>
          <t>A</t>
        </is>
      </c>
      <c r="F82" s="43" t="inlineStr">
        <is>
          <t>Released</t>
        </is>
      </c>
      <c r="G82" s="46" t="inlineStr">
        <is>
          <t>Wedge Canopy Mockups</t>
        </is>
      </c>
      <c r="H82" s="47" t="inlineStr"/>
      <c r="I82" s="47" t="inlineStr"/>
      <c r="J82" s="47" t="inlineStr">
        <is>
          <t>No</t>
        </is>
      </c>
      <c r="K82" s="47" t="n">
        <v>0</v>
      </c>
      <c r="L82" s="2" t="n"/>
      <c r="M82" s="2" t="n"/>
      <c r="N82" s="2" t="n"/>
      <c r="O82" s="2" t="n"/>
    </row>
    <row r="83" ht="15" customHeight="1">
      <c r="A83" s="2" t="n"/>
      <c r="B83" s="40" t="inlineStr">
        <is>
          <t>502E101</t>
        </is>
      </c>
      <c r="C83" s="40" t="inlineStr">
        <is>
          <t>PARTIAL MAIN STEEL FRAMING PLAN@BLDG_2</t>
        </is>
      </c>
      <c r="D83" s="40" t="inlineStr">
        <is>
          <t>Structural</t>
        </is>
      </c>
      <c r="E83" s="41" t="inlineStr">
        <is>
          <t>1</t>
        </is>
      </c>
      <c r="F83" s="43" t="inlineStr">
        <is>
          <t>Released</t>
        </is>
      </c>
      <c r="G83" s="40" t="inlineStr">
        <is>
          <t>Main Steel - Bldg. 2</t>
        </is>
      </c>
      <c r="H83" s="53" t="n">
        <v>46112</v>
      </c>
      <c r="I83" s="53" t="n">
        <v>46156</v>
      </c>
      <c r="J83" s="41" t="inlineStr">
        <is>
          <t>No</t>
        </is>
      </c>
      <c r="K83" s="41" t="n">
        <v>0</v>
      </c>
      <c r="L83" s="2" t="n"/>
      <c r="M83" s="2" t="n"/>
      <c r="N83" s="2" t="n"/>
      <c r="O83" s="2" t="n"/>
    </row>
    <row r="84" ht="15" customHeight="1">
      <c r="A84" s="2" t="n"/>
      <c r="B84" s="46" t="inlineStr">
        <is>
          <t>502E102</t>
        </is>
      </c>
      <c r="C84" s="46" t="inlineStr">
        <is>
          <t>PARTIAL MAIN STEEL FRAMING PLAN@BLDG_2</t>
        </is>
      </c>
      <c r="D84" s="46" t="inlineStr">
        <is>
          <t>Structural</t>
        </is>
      </c>
      <c r="E84" s="47" t="inlineStr">
        <is>
          <t>1</t>
        </is>
      </c>
      <c r="F84" s="43" t="inlineStr">
        <is>
          <t>Released</t>
        </is>
      </c>
      <c r="G84" s="46" t="inlineStr">
        <is>
          <t>Main Steel - Bldg. 2</t>
        </is>
      </c>
      <c r="H84" s="54" t="n">
        <v>46112</v>
      </c>
      <c r="I84" s="54" t="n">
        <v>46156</v>
      </c>
      <c r="J84" s="47" t="inlineStr">
        <is>
          <t>No</t>
        </is>
      </c>
      <c r="K84" s="47" t="n">
        <v>0</v>
      </c>
      <c r="L84" s="2" t="n"/>
      <c r="M84" s="2" t="n"/>
      <c r="N84" s="2" t="n"/>
      <c r="O84" s="2" t="n"/>
    </row>
    <row r="85" ht="15" customHeight="1">
      <c r="A85" s="2" t="n"/>
      <c r="B85" s="40" t="inlineStr">
        <is>
          <t>502E103</t>
        </is>
      </c>
      <c r="C85" s="40" t="inlineStr">
        <is>
          <t>PARTIAL MAIN STEEL FRAMING PLAN@BLDG_2</t>
        </is>
      </c>
      <c r="D85" s="40" t="inlineStr">
        <is>
          <t>Structural</t>
        </is>
      </c>
      <c r="E85" s="41" t="inlineStr">
        <is>
          <t>1</t>
        </is>
      </c>
      <c r="F85" s="43" t="inlineStr">
        <is>
          <t>Released</t>
        </is>
      </c>
      <c r="G85" s="40" t="inlineStr">
        <is>
          <t>Main Steel - Bldg. 2</t>
        </is>
      </c>
      <c r="H85" s="53" t="n">
        <v>46112</v>
      </c>
      <c r="I85" s="53" t="n">
        <v>46156</v>
      </c>
      <c r="J85" s="41" t="inlineStr">
        <is>
          <t>No</t>
        </is>
      </c>
      <c r="K85" s="41" t="n">
        <v>0</v>
      </c>
      <c r="L85" s="2" t="n"/>
      <c r="M85" s="2" t="n"/>
      <c r="N85" s="2" t="n"/>
      <c r="O85" s="2" t="n"/>
    </row>
    <row r="86" ht="15" customHeight="1">
      <c r="A86" s="2" t="n"/>
      <c r="B86" s="46" t="inlineStr">
        <is>
          <t>502E104</t>
        </is>
      </c>
      <c r="C86" s="46" t="inlineStr">
        <is>
          <t>PARTIAL MAIN STEEL FRAMING PLAN@BLDG_2</t>
        </is>
      </c>
      <c r="D86" s="46" t="inlineStr">
        <is>
          <t>Structural</t>
        </is>
      </c>
      <c r="E86" s="47" t="inlineStr">
        <is>
          <t>1</t>
        </is>
      </c>
      <c r="F86" s="43" t="inlineStr">
        <is>
          <t>Released</t>
        </is>
      </c>
      <c r="G86" s="46" t="inlineStr">
        <is>
          <t>Main Steel - Bldg. 2</t>
        </is>
      </c>
      <c r="H86" s="54" t="n">
        <v>46112</v>
      </c>
      <c r="I86" s="54" t="n">
        <v>46156</v>
      </c>
      <c r="J86" s="47" t="inlineStr">
        <is>
          <t>No</t>
        </is>
      </c>
      <c r="K86" s="47" t="n">
        <v>0</v>
      </c>
      <c r="L86" s="2" t="n"/>
      <c r="M86" s="2" t="n"/>
      <c r="N86" s="2" t="n"/>
      <c r="O86" s="2" t="n"/>
    </row>
    <row r="87" ht="15" customHeight="1">
      <c r="A87" s="2" t="n"/>
      <c r="B87" s="40" t="inlineStr">
        <is>
          <t>502E105</t>
        </is>
      </c>
      <c r="C87" s="40" t="inlineStr">
        <is>
          <t>PARTIAL MAIN STEEL FRAMING PLAN@BLDG_2</t>
        </is>
      </c>
      <c r="D87" s="40" t="inlineStr">
        <is>
          <t>Structural</t>
        </is>
      </c>
      <c r="E87" s="41" t="inlineStr">
        <is>
          <t>1</t>
        </is>
      </c>
      <c r="F87" s="43" t="inlineStr">
        <is>
          <t>Released</t>
        </is>
      </c>
      <c r="G87" s="40" t="inlineStr">
        <is>
          <t>Main Steel - Bldg. 2</t>
        </is>
      </c>
      <c r="H87" s="53" t="n">
        <v>46112</v>
      </c>
      <c r="I87" s="53" t="n">
        <v>46156</v>
      </c>
      <c r="J87" s="41" t="inlineStr">
        <is>
          <t>No</t>
        </is>
      </c>
      <c r="K87" s="41" t="n">
        <v>0</v>
      </c>
      <c r="L87" s="2" t="n"/>
      <c r="M87" s="2" t="n"/>
      <c r="N87" s="2" t="n"/>
      <c r="O87" s="2" t="n"/>
    </row>
    <row r="88" ht="15" customHeight="1">
      <c r="A88" s="2" t="n"/>
      <c r="B88" s="46" t="inlineStr">
        <is>
          <t>502E106</t>
        </is>
      </c>
      <c r="C88" s="46" t="inlineStr">
        <is>
          <t>PARTIAL MAIN STEEL FRAMING PLAN@BLDG_2</t>
        </is>
      </c>
      <c r="D88" s="46" t="inlineStr">
        <is>
          <t>Structural</t>
        </is>
      </c>
      <c r="E88" s="47" t="inlineStr">
        <is>
          <t>1</t>
        </is>
      </c>
      <c r="F88" s="43" t="inlineStr">
        <is>
          <t>Released</t>
        </is>
      </c>
      <c r="G88" s="46" t="inlineStr">
        <is>
          <t>Main Steel - Bldg. 2</t>
        </is>
      </c>
      <c r="H88" s="54" t="n">
        <v>46112</v>
      </c>
      <c r="I88" s="54" t="n">
        <v>46156</v>
      </c>
      <c r="J88" s="47" t="inlineStr">
        <is>
          <t>No</t>
        </is>
      </c>
      <c r="K88" s="47" t="n">
        <v>0</v>
      </c>
      <c r="L88" s="2" t="n"/>
      <c r="M88" s="2" t="n"/>
      <c r="N88" s="2" t="n"/>
      <c r="O88" s="2" t="n"/>
    </row>
    <row r="89" ht="15" customHeight="1">
      <c r="A89" s="2" t="n"/>
      <c r="B89" s="40" t="inlineStr">
        <is>
          <t>502E107</t>
        </is>
      </c>
      <c r="C89" s="40" t="inlineStr">
        <is>
          <t>PARTIAL MAIN STEEL FRAMING PLAN@BLDG-2</t>
        </is>
      </c>
      <c r="D89" s="40" t="inlineStr">
        <is>
          <t>Structural</t>
        </is>
      </c>
      <c r="E89" s="41" t="inlineStr">
        <is>
          <t>1</t>
        </is>
      </c>
      <c r="F89" s="43" t="inlineStr">
        <is>
          <t>Released</t>
        </is>
      </c>
      <c r="G89" s="40" t="inlineStr">
        <is>
          <t>Main Steel - Bldg. 2</t>
        </is>
      </c>
      <c r="H89" s="53" t="n">
        <v>46112</v>
      </c>
      <c r="I89" s="53" t="n">
        <v>46156</v>
      </c>
      <c r="J89" s="41" t="inlineStr">
        <is>
          <t>No</t>
        </is>
      </c>
      <c r="K89" s="41" t="n">
        <v>0</v>
      </c>
      <c r="L89" s="2" t="n"/>
      <c r="M89" s="2" t="n"/>
      <c r="N89" s="2" t="n"/>
      <c r="O89" s="2" t="n"/>
    </row>
    <row r="90" ht="15" customHeight="1">
      <c r="A90" s="2" t="n"/>
      <c r="B90" s="46" t="inlineStr">
        <is>
          <t>502E108</t>
        </is>
      </c>
      <c r="C90" s="46" t="inlineStr">
        <is>
          <t>PARTIAL MAIN STEEL FRAMING PLAN@BLDG-2</t>
        </is>
      </c>
      <c r="D90" s="46" t="inlineStr">
        <is>
          <t>Structural</t>
        </is>
      </c>
      <c r="E90" s="47" t="inlineStr">
        <is>
          <t>1</t>
        </is>
      </c>
      <c r="F90" s="43" t="inlineStr">
        <is>
          <t>Released</t>
        </is>
      </c>
      <c r="G90" s="46" t="inlineStr">
        <is>
          <t>Main Steel - Bldg. 2</t>
        </is>
      </c>
      <c r="H90" s="54" t="n">
        <v>46112</v>
      </c>
      <c r="I90" s="54" t="n">
        <v>46156</v>
      </c>
      <c r="J90" s="47" t="inlineStr">
        <is>
          <t>No</t>
        </is>
      </c>
      <c r="K90" s="47" t="n">
        <v>0</v>
      </c>
      <c r="L90" s="2" t="n"/>
      <c r="M90" s="2" t="n"/>
      <c r="N90" s="2" t="n"/>
      <c r="O90" s="2" t="n"/>
    </row>
    <row r="91" ht="15" customHeight="1">
      <c r="A91" s="2" t="n"/>
      <c r="B91" s="40" t="inlineStr">
        <is>
          <t>502E109</t>
        </is>
      </c>
      <c r="C91" s="40" t="inlineStr">
        <is>
          <t>PARTIAL MAIN STEEL FRAMING PLAN@BLDG-2</t>
        </is>
      </c>
      <c r="D91" s="40" t="inlineStr">
        <is>
          <t>Structural</t>
        </is>
      </c>
      <c r="E91" s="41" t="inlineStr">
        <is>
          <t>1</t>
        </is>
      </c>
      <c r="F91" s="43" t="inlineStr">
        <is>
          <t>Released</t>
        </is>
      </c>
      <c r="G91" s="40" t="inlineStr">
        <is>
          <t>Main Steel - Bldg. 2</t>
        </is>
      </c>
      <c r="H91" s="53" t="n">
        <v>46112</v>
      </c>
      <c r="I91" s="53" t="n">
        <v>46156</v>
      </c>
      <c r="J91" s="41" t="inlineStr">
        <is>
          <t>No</t>
        </is>
      </c>
      <c r="K91" s="41" t="n">
        <v>0</v>
      </c>
      <c r="L91" s="2" t="n"/>
      <c r="M91" s="2" t="n"/>
      <c r="N91" s="2" t="n"/>
      <c r="O91" s="2" t="n"/>
    </row>
    <row r="92" ht="15" customHeight="1">
      <c r="A92" s="2" t="n"/>
      <c r="B92" s="46" t="inlineStr">
        <is>
          <t>502E110</t>
        </is>
      </c>
      <c r="C92" s="46" t="inlineStr">
        <is>
          <t>WEDGE CANOPY FRAMING PLAN@BLDG-2</t>
        </is>
      </c>
      <c r="D92" s="46" t="inlineStr">
        <is>
          <t>Structural</t>
        </is>
      </c>
      <c r="E92" s="47" t="inlineStr">
        <is>
          <t>1</t>
        </is>
      </c>
      <c r="F92" s="43" t="inlineStr">
        <is>
          <t>Released</t>
        </is>
      </c>
      <c r="G92" s="46" t="inlineStr">
        <is>
          <t>Main Steel - Bldg. 2</t>
        </is>
      </c>
      <c r="H92" s="54" t="n">
        <v>46112</v>
      </c>
      <c r="I92" s="54" t="n">
        <v>46156</v>
      </c>
      <c r="J92" s="47" t="inlineStr">
        <is>
          <t>No</t>
        </is>
      </c>
      <c r="K92" s="47" t="n">
        <v>0</v>
      </c>
      <c r="L92" s="2" t="n"/>
      <c r="M92" s="2" t="n"/>
      <c r="N92" s="2" t="n"/>
      <c r="O92" s="2" t="n"/>
    </row>
    <row r="93" ht="15" customHeight="1">
      <c r="A93" s="2" t="n"/>
      <c r="B93" s="40" t="inlineStr">
        <is>
          <t>502E111</t>
        </is>
      </c>
      <c r="C93" s="40" t="inlineStr">
        <is>
          <t>WEDGE CANOPY FRAMING PLAN@BLDG-2</t>
        </is>
      </c>
      <c r="D93" s="40" t="inlineStr">
        <is>
          <t>Structural</t>
        </is>
      </c>
      <c r="E93" s="41" t="inlineStr">
        <is>
          <t>1</t>
        </is>
      </c>
      <c r="F93" s="43" t="inlineStr">
        <is>
          <t>Released</t>
        </is>
      </c>
      <c r="G93" s="40" t="inlineStr">
        <is>
          <t>Main Steel - Bldg. 2</t>
        </is>
      </c>
      <c r="H93" s="53" t="n">
        <v>46112</v>
      </c>
      <c r="I93" s="53" t="n">
        <v>46156</v>
      </c>
      <c r="J93" s="41" t="inlineStr">
        <is>
          <t>No</t>
        </is>
      </c>
      <c r="K93" s="41" t="n">
        <v>0</v>
      </c>
      <c r="L93" s="2" t="n"/>
      <c r="M93" s="2" t="n"/>
      <c r="N93" s="2" t="n"/>
      <c r="O93" s="2" t="n"/>
    </row>
    <row r="94" ht="15" customHeight="1">
      <c r="A94" s="2" t="n"/>
      <c r="B94" s="46" t="inlineStr">
        <is>
          <t>502E112</t>
        </is>
      </c>
      <c r="C94" s="46" t="inlineStr">
        <is>
          <t>WEDGE CANOPY FRAMING PLAN@BLDG-2</t>
        </is>
      </c>
      <c r="D94" s="46" t="inlineStr">
        <is>
          <t>Structural</t>
        </is>
      </c>
      <c r="E94" s="47" t="inlineStr">
        <is>
          <t>1</t>
        </is>
      </c>
      <c r="F94" s="43" t="inlineStr">
        <is>
          <t>Released</t>
        </is>
      </c>
      <c r="G94" s="46" t="inlineStr">
        <is>
          <t>Main Steel - Bldg. 2</t>
        </is>
      </c>
      <c r="H94" s="54" t="n">
        <v>46112</v>
      </c>
      <c r="I94" s="54" t="n">
        <v>46156</v>
      </c>
      <c r="J94" s="47" t="inlineStr">
        <is>
          <t>No</t>
        </is>
      </c>
      <c r="K94" s="47" t="n">
        <v>0</v>
      </c>
      <c r="L94" s="2" t="n"/>
      <c r="M94" s="2" t="n"/>
      <c r="N94" s="2" t="n"/>
      <c r="O94" s="2" t="n"/>
    </row>
    <row r="95" ht="15" customHeight="1">
      <c r="A95" s="2" t="n"/>
      <c r="B95" s="40" t="inlineStr">
        <is>
          <t>502E113</t>
        </is>
      </c>
      <c r="C95" s="40" t="inlineStr">
        <is>
          <t>WEDGE CANOPY FRAMING PLAN@BLDG-2</t>
        </is>
      </c>
      <c r="D95" s="40" t="inlineStr">
        <is>
          <t>Structural</t>
        </is>
      </c>
      <c r="E95" s="41" t="inlineStr">
        <is>
          <t>1</t>
        </is>
      </c>
      <c r="F95" s="43" t="inlineStr">
        <is>
          <t>Released</t>
        </is>
      </c>
      <c r="G95" s="40" t="inlineStr">
        <is>
          <t>Main Steel - Bldg. 2</t>
        </is>
      </c>
      <c r="H95" s="53" t="n">
        <v>46112</v>
      </c>
      <c r="I95" s="53" t="n">
        <v>46156</v>
      </c>
      <c r="J95" s="41" t="inlineStr">
        <is>
          <t>No</t>
        </is>
      </c>
      <c r="K95" s="41" t="n">
        <v>0</v>
      </c>
      <c r="L95" s="2" t="n"/>
      <c r="M95" s="2" t="n"/>
      <c r="N95" s="2" t="n"/>
      <c r="O95" s="2" t="n"/>
    </row>
    <row r="96" ht="15" customHeight="1">
      <c r="A96" s="2" t="n"/>
      <c r="B96" s="46" t="inlineStr">
        <is>
          <t>502E114</t>
        </is>
      </c>
      <c r="C96" s="46" t="inlineStr">
        <is>
          <t>MAIN STEEL DETAILS AND SECTION</t>
        </is>
      </c>
      <c r="D96" s="46" t="inlineStr">
        <is>
          <t>Structural</t>
        </is>
      </c>
      <c r="E96" s="47" t="inlineStr">
        <is>
          <t>1</t>
        </is>
      </c>
      <c r="F96" s="43" t="inlineStr">
        <is>
          <t>Released</t>
        </is>
      </c>
      <c r="G96" s="46" t="inlineStr">
        <is>
          <t>Main Steel - Bldg. 2</t>
        </is>
      </c>
      <c r="H96" s="54" t="n">
        <v>46112</v>
      </c>
      <c r="I96" s="54" t="n">
        <v>46156</v>
      </c>
      <c r="J96" s="47" t="inlineStr">
        <is>
          <t>No</t>
        </is>
      </c>
      <c r="K96" s="47" t="n">
        <v>0</v>
      </c>
      <c r="L96" s="2" t="n"/>
      <c r="M96" s="2" t="n"/>
      <c r="N96" s="2" t="n"/>
      <c r="O96" s="2" t="n"/>
    </row>
    <row r="97" ht="15" customHeight="1">
      <c r="A97" s="2" t="n"/>
      <c r="B97" s="40" t="inlineStr">
        <is>
          <t>502E115</t>
        </is>
      </c>
      <c r="C97" s="40" t="inlineStr">
        <is>
          <t>MAIN STEEL DETAILS AND SECTION</t>
        </is>
      </c>
      <c r="D97" s="40" t="inlineStr">
        <is>
          <t>Structural</t>
        </is>
      </c>
      <c r="E97" s="41" t="inlineStr">
        <is>
          <t>1</t>
        </is>
      </c>
      <c r="F97" s="43" t="inlineStr">
        <is>
          <t>Released</t>
        </is>
      </c>
      <c r="G97" s="40" t="inlineStr">
        <is>
          <t>Main Steel - Bldg. 2</t>
        </is>
      </c>
      <c r="H97" s="53" t="n">
        <v>46112</v>
      </c>
      <c r="I97" s="53" t="n">
        <v>46156</v>
      </c>
      <c r="J97" s="41" t="inlineStr">
        <is>
          <t>No</t>
        </is>
      </c>
      <c r="K97" s="41" t="n">
        <v>0</v>
      </c>
      <c r="L97" s="2" t="n"/>
      <c r="M97" s="2" t="n"/>
      <c r="N97" s="2" t="n"/>
      <c r="O97" s="2" t="n"/>
    </row>
    <row r="98" ht="15" customHeight="1">
      <c r="A98" s="2" t="n"/>
      <c r="B98" s="46" t="inlineStr">
        <is>
          <t>502E116</t>
        </is>
      </c>
      <c r="C98" s="46" t="inlineStr">
        <is>
          <t>MAIN STEEL DETAILS AND SECTION</t>
        </is>
      </c>
      <c r="D98" s="46" t="inlineStr">
        <is>
          <t>Structural</t>
        </is>
      </c>
      <c r="E98" s="47" t="inlineStr">
        <is>
          <t>1</t>
        </is>
      </c>
      <c r="F98" s="43" t="inlineStr">
        <is>
          <t>Released</t>
        </is>
      </c>
      <c r="G98" s="46" t="inlineStr">
        <is>
          <t>Main Steel - Bldg. 2</t>
        </is>
      </c>
      <c r="H98" s="54" t="n">
        <v>46112</v>
      </c>
      <c r="I98" s="54" t="n">
        <v>46156</v>
      </c>
      <c r="J98" s="47" t="inlineStr">
        <is>
          <t>No</t>
        </is>
      </c>
      <c r="K98" s="47" t="n">
        <v>0</v>
      </c>
      <c r="L98" s="2" t="n"/>
      <c r="M98" s="2" t="n"/>
      <c r="N98" s="2" t="n"/>
      <c r="O98" s="2" t="n"/>
    </row>
    <row r="99" ht="15" customHeight="1">
      <c r="A99" s="2" t="n"/>
      <c r="B99" s="40" t="inlineStr">
        <is>
          <t>502E117</t>
        </is>
      </c>
      <c r="C99" s="40" t="inlineStr">
        <is>
          <t>MAIN STEEL DETAILS AND SECTION</t>
        </is>
      </c>
      <c r="D99" s="40" t="inlineStr">
        <is>
          <t>Structural</t>
        </is>
      </c>
      <c r="E99" s="41" t="inlineStr">
        <is>
          <t>1</t>
        </is>
      </c>
      <c r="F99" s="43" t="inlineStr">
        <is>
          <t>Released</t>
        </is>
      </c>
      <c r="G99" s="40" t="inlineStr">
        <is>
          <t>Main Steel - Bldg. 2</t>
        </is>
      </c>
      <c r="H99" s="53" t="n">
        <v>46112</v>
      </c>
      <c r="I99" s="53" t="n">
        <v>46156</v>
      </c>
      <c r="J99" s="41" t="inlineStr">
        <is>
          <t>No</t>
        </is>
      </c>
      <c r="K99" s="41" t="n">
        <v>0</v>
      </c>
      <c r="L99" s="2" t="n"/>
      <c r="M99" s="2" t="n"/>
      <c r="N99" s="2" t="n"/>
      <c r="O99" s="2" t="n"/>
    </row>
    <row r="100" ht="15" customHeight="1">
      <c r="A100" s="2" t="n"/>
      <c r="B100" s="46" t="inlineStr">
        <is>
          <t>502E118</t>
        </is>
      </c>
      <c r="C100" s="46" t="inlineStr">
        <is>
          <t>MAIN STEEL DETAILS AND SECTION</t>
        </is>
      </c>
      <c r="D100" s="46" t="inlineStr">
        <is>
          <t>Structural</t>
        </is>
      </c>
      <c r="E100" s="47" t="inlineStr">
        <is>
          <t>1</t>
        </is>
      </c>
      <c r="F100" s="43" t="inlineStr">
        <is>
          <t>Released</t>
        </is>
      </c>
      <c r="G100" s="46" t="inlineStr">
        <is>
          <t>Main Steel - Bldg. 2</t>
        </is>
      </c>
      <c r="H100" s="54" t="n">
        <v>46112</v>
      </c>
      <c r="I100" s="54" t="n">
        <v>46156</v>
      </c>
      <c r="J100" s="47" t="inlineStr">
        <is>
          <t>No</t>
        </is>
      </c>
      <c r="K100" s="47" t="n">
        <v>0</v>
      </c>
      <c r="L100" s="2" t="n"/>
      <c r="M100" s="2" t="n"/>
      <c r="N100" s="2" t="n"/>
      <c r="O100" s="2" t="n"/>
    </row>
    <row r="101" ht="15" customHeight="1">
      <c r="A101" s="2" t="n"/>
      <c r="B101" s="40" t="inlineStr">
        <is>
          <t>502E119</t>
        </is>
      </c>
      <c r="C101" s="40" t="inlineStr">
        <is>
          <t>MAIN STEEL DETAILS AND SECTION</t>
        </is>
      </c>
      <c r="D101" s="40" t="inlineStr">
        <is>
          <t>Structural</t>
        </is>
      </c>
      <c r="E101" s="41" t="inlineStr">
        <is>
          <t>1</t>
        </is>
      </c>
      <c r="F101" s="43" t="inlineStr">
        <is>
          <t>Released</t>
        </is>
      </c>
      <c r="G101" s="40" t="inlineStr">
        <is>
          <t>Main Steel - Bldg. 2</t>
        </is>
      </c>
      <c r="H101" s="53" t="n">
        <v>46112</v>
      </c>
      <c r="I101" s="53" t="n">
        <v>46156</v>
      </c>
      <c r="J101" s="41" t="inlineStr">
        <is>
          <t>No</t>
        </is>
      </c>
      <c r="K101" s="41" t="n">
        <v>0</v>
      </c>
      <c r="L101" s="2" t="n"/>
      <c r="M101" s="2" t="n"/>
      <c r="N101" s="2" t="n"/>
      <c r="O101" s="2" t="n"/>
    </row>
    <row r="102" ht="15" customHeight="1">
      <c r="A102" s="2" t="n"/>
      <c r="B102" s="46" t="inlineStr">
        <is>
          <t>502E120</t>
        </is>
      </c>
      <c r="C102" s="46" t="inlineStr">
        <is>
          <t>MAIN STEEL DETAILS AND SECTION</t>
        </is>
      </c>
      <c r="D102" s="46" t="inlineStr">
        <is>
          <t>Structural</t>
        </is>
      </c>
      <c r="E102" s="47" t="inlineStr">
        <is>
          <t>1</t>
        </is>
      </c>
      <c r="F102" s="43" t="inlineStr">
        <is>
          <t>Released</t>
        </is>
      </c>
      <c r="G102" s="46" t="inlineStr">
        <is>
          <t>Main Steel - Bldg. 2</t>
        </is>
      </c>
      <c r="H102" s="54" t="n">
        <v>46112</v>
      </c>
      <c r="I102" s="54" t="n">
        <v>46156</v>
      </c>
      <c r="J102" s="47" t="inlineStr">
        <is>
          <t>No</t>
        </is>
      </c>
      <c r="K102" s="47" t="n">
        <v>0</v>
      </c>
      <c r="L102" s="2" t="n"/>
      <c r="M102" s="2" t="n"/>
      <c r="N102" s="2" t="n"/>
      <c r="O102" s="2" t="n"/>
    </row>
    <row r="103" ht="15" customHeight="1">
      <c r="A103" s="2" t="n"/>
      <c r="B103" s="40" t="inlineStr">
        <is>
          <t>502E121</t>
        </is>
      </c>
      <c r="C103" s="40" t="inlineStr">
        <is>
          <t>MAIN STEEL DETAILS AND SECTION</t>
        </is>
      </c>
      <c r="D103" s="40" t="inlineStr">
        <is>
          <t>Structural</t>
        </is>
      </c>
      <c r="E103" s="41" t="inlineStr">
        <is>
          <t>1</t>
        </is>
      </c>
      <c r="F103" s="43" t="inlineStr">
        <is>
          <t>Released</t>
        </is>
      </c>
      <c r="G103" s="40" t="inlineStr">
        <is>
          <t>Main Steel - Bldg. 2</t>
        </is>
      </c>
      <c r="H103" s="53" t="n">
        <v>46112</v>
      </c>
      <c r="I103" s="53" t="n">
        <v>46156</v>
      </c>
      <c r="J103" s="41" t="inlineStr">
        <is>
          <t>No</t>
        </is>
      </c>
      <c r="K103" s="41" t="n">
        <v>0</v>
      </c>
      <c r="L103" s="2" t="n"/>
      <c r="M103" s="2" t="n"/>
      <c r="N103" s="2" t="n"/>
      <c r="O103" s="2" t="n"/>
    </row>
    <row r="104" ht="15" customHeight="1">
      <c r="A104" s="2" t="n"/>
      <c r="B104" s="46" t="inlineStr">
        <is>
          <t>502E122</t>
        </is>
      </c>
      <c r="C104" s="46" t="inlineStr">
        <is>
          <t>MAIN STEEL DETAILS AND SECTION</t>
        </is>
      </c>
      <c r="D104" s="46" t="inlineStr">
        <is>
          <t>Structural</t>
        </is>
      </c>
      <c r="E104" s="47" t="inlineStr">
        <is>
          <t>1</t>
        </is>
      </c>
      <c r="F104" s="43" t="inlineStr">
        <is>
          <t>Released</t>
        </is>
      </c>
      <c r="G104" s="46" t="inlineStr">
        <is>
          <t>Main Steel - Bldg. 2</t>
        </is>
      </c>
      <c r="H104" s="54" t="n">
        <v>46112</v>
      </c>
      <c r="I104" s="54" t="n">
        <v>46156</v>
      </c>
      <c r="J104" s="47" t="inlineStr">
        <is>
          <t>No</t>
        </is>
      </c>
      <c r="K104" s="47" t="n">
        <v>0</v>
      </c>
      <c r="L104" s="2" t="n"/>
      <c r="M104" s="2" t="n"/>
      <c r="N104" s="2" t="n"/>
      <c r="O104" s="2" t="n"/>
    </row>
    <row r="105" ht="15" customHeight="1">
      <c r="A105" s="2" t="n"/>
      <c r="B105" s="40" t="inlineStr">
        <is>
          <t>502E123</t>
        </is>
      </c>
      <c r="C105" s="40" t="inlineStr">
        <is>
          <t>WEGDE CANOPY DETAILS AND SECTION</t>
        </is>
      </c>
      <c r="D105" s="40" t="inlineStr">
        <is>
          <t>Structural</t>
        </is>
      </c>
      <c r="E105" s="41" t="inlineStr">
        <is>
          <t>1</t>
        </is>
      </c>
      <c r="F105" s="43" t="inlineStr">
        <is>
          <t>Released</t>
        </is>
      </c>
      <c r="G105" s="40" t="inlineStr">
        <is>
          <t>Main Steel - Bldg. 2</t>
        </is>
      </c>
      <c r="H105" s="53" t="n">
        <v>46112</v>
      </c>
      <c r="I105" s="53" t="n">
        <v>46156</v>
      </c>
      <c r="J105" s="41" t="inlineStr">
        <is>
          <t>No</t>
        </is>
      </c>
      <c r="K105" s="41" t="n">
        <v>0</v>
      </c>
      <c r="L105" s="2" t="n"/>
      <c r="M105" s="2" t="n"/>
      <c r="N105" s="2" t="n"/>
      <c r="O105" s="2" t="n"/>
    </row>
    <row r="106" ht="15" customHeight="1">
      <c r="A106" s="2" t="n"/>
      <c r="B106" s="46" t="inlineStr">
        <is>
          <t>502E124</t>
        </is>
      </c>
      <c r="C106" s="46" t="inlineStr">
        <is>
          <t>WEGDE CANOPY DETAILS AND SECTION</t>
        </is>
      </c>
      <c r="D106" s="46" t="inlineStr">
        <is>
          <t>Structural</t>
        </is>
      </c>
      <c r="E106" s="47" t="inlineStr">
        <is>
          <t>1</t>
        </is>
      </c>
      <c r="F106" s="43" t="inlineStr">
        <is>
          <t>Released</t>
        </is>
      </c>
      <c r="G106" s="46" t="inlineStr">
        <is>
          <t>Main Steel - Bldg. 2</t>
        </is>
      </c>
      <c r="H106" s="54" t="n">
        <v>46112</v>
      </c>
      <c r="I106" s="54" t="n">
        <v>46121</v>
      </c>
      <c r="J106" s="47" t="inlineStr">
        <is>
          <t>No</t>
        </is>
      </c>
      <c r="K106" s="47" t="n">
        <v>0</v>
      </c>
      <c r="L106" s="2" t="n"/>
      <c r="M106" s="2" t="n"/>
      <c r="N106" s="2" t="n"/>
      <c r="O106" s="2" t="n"/>
    </row>
    <row r="107" ht="15" customHeight="1">
      <c r="A107" s="2" t="n"/>
      <c r="B107" s="40" t="inlineStr">
        <is>
          <t>601E101</t>
        </is>
      </c>
      <c r="C107" s="40" t="inlineStr">
        <is>
          <t>STAIR-1 LAYOUT PLAN @ BLDG.1</t>
        </is>
      </c>
      <c r="D107" s="40" t="inlineStr">
        <is>
          <t>Misc Metals</t>
        </is>
      </c>
      <c r="E107" s="41" t="inlineStr">
        <is>
          <t>A</t>
        </is>
      </c>
      <c r="F107" s="55" t="inlineStr">
        <is>
          <t>OFS</t>
        </is>
      </c>
      <c r="G107" s="40" t="inlineStr">
        <is>
          <t>Stairs - Bldg 1</t>
        </is>
      </c>
      <c r="H107" s="53" t="n">
        <v>46104</v>
      </c>
      <c r="I107" s="53" t="n">
        <v>46153</v>
      </c>
      <c r="J107" s="41" t="inlineStr">
        <is>
          <t>No</t>
        </is>
      </c>
      <c r="K107" s="41" t="n">
        <v>0</v>
      </c>
      <c r="L107" s="2" t="n"/>
      <c r="M107" s="2" t="n"/>
      <c r="N107" s="2" t="n"/>
      <c r="O107" s="2" t="n"/>
    </row>
    <row r="108" ht="15" customHeight="1">
      <c r="A108" s="2" t="n"/>
      <c r="B108" s="46" t="inlineStr">
        <is>
          <t>601E102</t>
        </is>
      </c>
      <c r="C108" s="46" t="inlineStr">
        <is>
          <t>ELEVATIONS &amp; SECTION</t>
        </is>
      </c>
      <c r="D108" s="46" t="inlineStr">
        <is>
          <t>Misc Metals</t>
        </is>
      </c>
      <c r="E108" s="47" t="inlineStr">
        <is>
          <t>A</t>
        </is>
      </c>
      <c r="F108" s="55" t="inlineStr">
        <is>
          <t>OFS</t>
        </is>
      </c>
      <c r="G108" s="46" t="inlineStr">
        <is>
          <t>Stairs - Bldg 1</t>
        </is>
      </c>
      <c r="H108" s="54" t="n">
        <v>46104</v>
      </c>
      <c r="I108" s="54" t="n">
        <v>46153</v>
      </c>
      <c r="J108" s="47" t="inlineStr">
        <is>
          <t>No</t>
        </is>
      </c>
      <c r="K108" s="47" t="n">
        <v>0</v>
      </c>
      <c r="L108" s="2" t="n"/>
      <c r="M108" s="2" t="n"/>
      <c r="N108" s="2" t="n"/>
      <c r="O108" s="2" t="n"/>
    </row>
    <row r="109" ht="15" customHeight="1">
      <c r="A109" s="2" t="n"/>
      <c r="B109" s="40" t="inlineStr">
        <is>
          <t>601E103</t>
        </is>
      </c>
      <c r="C109" s="40" t="inlineStr">
        <is>
          <t>ELEVATIONS</t>
        </is>
      </c>
      <c r="D109" s="40" t="inlineStr">
        <is>
          <t>Misc Metals</t>
        </is>
      </c>
      <c r="E109" s="41" t="inlineStr">
        <is>
          <t>A</t>
        </is>
      </c>
      <c r="F109" s="55" t="inlineStr">
        <is>
          <t>OFS</t>
        </is>
      </c>
      <c r="G109" s="40" t="inlineStr">
        <is>
          <t>Stairs - Bldg 1</t>
        </is>
      </c>
      <c r="H109" s="53" t="n">
        <v>46104</v>
      </c>
      <c r="I109" s="53" t="n">
        <v>46153</v>
      </c>
      <c r="J109" s="41" t="inlineStr">
        <is>
          <t>No</t>
        </is>
      </c>
      <c r="K109" s="41" t="n">
        <v>0</v>
      </c>
      <c r="L109" s="2" t="n"/>
      <c r="M109" s="2" t="n"/>
      <c r="N109" s="2" t="n"/>
      <c r="O109" s="2" t="n"/>
    </row>
    <row r="110" ht="15" customHeight="1">
      <c r="A110" s="2" t="n"/>
      <c r="B110" s="46" t="inlineStr">
        <is>
          <t>601E104</t>
        </is>
      </c>
      <c r="C110" s="46" t="inlineStr">
        <is>
          <t>ELEVATIONS &amp; SECTIONS</t>
        </is>
      </c>
      <c r="D110" s="46" t="inlineStr">
        <is>
          <t>Misc Metals</t>
        </is>
      </c>
      <c r="E110" s="47" t="inlineStr">
        <is>
          <t>A</t>
        </is>
      </c>
      <c r="F110" s="55" t="inlineStr">
        <is>
          <t>OFS</t>
        </is>
      </c>
      <c r="G110" s="46" t="inlineStr">
        <is>
          <t>Stairs - Bldg 1</t>
        </is>
      </c>
      <c r="H110" s="54" t="n">
        <v>46104</v>
      </c>
      <c r="I110" s="54" t="n">
        <v>46153</v>
      </c>
      <c r="J110" s="47" t="inlineStr">
        <is>
          <t>No</t>
        </is>
      </c>
      <c r="K110" s="47" t="n">
        <v>0</v>
      </c>
      <c r="L110" s="2" t="n"/>
      <c r="M110" s="2" t="n"/>
      <c r="N110" s="2" t="n"/>
      <c r="O110" s="2" t="n"/>
    </row>
    <row r="111" ht="15" customHeight="1">
      <c r="A111" s="2" t="n"/>
      <c r="B111" s="40" t="inlineStr">
        <is>
          <t>601E105</t>
        </is>
      </c>
      <c r="C111" s="40" t="inlineStr">
        <is>
          <t>DETAIL &amp; SECTIONS</t>
        </is>
      </c>
      <c r="D111" s="40" t="inlineStr">
        <is>
          <t>Misc Metals</t>
        </is>
      </c>
      <c r="E111" s="41" t="inlineStr">
        <is>
          <t>A</t>
        </is>
      </c>
      <c r="F111" s="55" t="inlineStr">
        <is>
          <t>OFS</t>
        </is>
      </c>
      <c r="G111" s="40" t="inlineStr">
        <is>
          <t>Stairs - Bldg 1</t>
        </is>
      </c>
      <c r="H111" s="53" t="n">
        <v>46104</v>
      </c>
      <c r="I111" s="53" t="n">
        <v>46153</v>
      </c>
      <c r="J111" s="41" t="inlineStr">
        <is>
          <t>No</t>
        </is>
      </c>
      <c r="K111" s="41" t="n">
        <v>0</v>
      </c>
      <c r="L111" s="2" t="n"/>
      <c r="M111" s="2" t="n"/>
      <c r="N111" s="2" t="n"/>
      <c r="O111" s="2" t="n"/>
    </row>
    <row r="112" ht="15" customHeight="1">
      <c r="A112" s="2" t="n"/>
      <c r="B112" s="46" t="inlineStr">
        <is>
          <t>601E1051</t>
        </is>
      </c>
      <c r="C112" s="46" t="inlineStr">
        <is>
          <t>SS CABLE RAIL FITTING</t>
        </is>
      </c>
      <c r="D112" s="46" t="inlineStr">
        <is>
          <t>Misc Metals</t>
        </is>
      </c>
      <c r="E112" s="47" t="inlineStr">
        <is>
          <t>A</t>
        </is>
      </c>
      <c r="F112" s="55" t="inlineStr">
        <is>
          <t>OFS</t>
        </is>
      </c>
      <c r="G112" s="46" t="inlineStr">
        <is>
          <t>Stairs - Bldg 1</t>
        </is>
      </c>
      <c r="H112" s="54" t="n">
        <v>46104</v>
      </c>
      <c r="I112" s="54" t="n">
        <v>46153</v>
      </c>
      <c r="J112" s="47" t="inlineStr">
        <is>
          <t>No</t>
        </is>
      </c>
      <c r="K112" s="47" t="n">
        <v>0</v>
      </c>
      <c r="L112" s="2" t="n"/>
      <c r="M112" s="2" t="n"/>
      <c r="N112" s="2" t="n"/>
      <c r="O112" s="2" t="n"/>
    </row>
    <row r="113" ht="15" customHeight="1">
      <c r="A113" s="2" t="n"/>
      <c r="B113" s="40" t="inlineStr">
        <is>
          <t>601E1052</t>
        </is>
      </c>
      <c r="C113" s="40" t="inlineStr">
        <is>
          <t>SS CABLE RAIL FITTING @ BALCONY</t>
        </is>
      </c>
      <c r="D113" s="40" t="inlineStr">
        <is>
          <t>Misc Metals</t>
        </is>
      </c>
      <c r="E113" s="41" t="inlineStr">
        <is>
          <t xml:space="preserve">A </t>
        </is>
      </c>
      <c r="F113" s="55" t="inlineStr">
        <is>
          <t>OFS</t>
        </is>
      </c>
      <c r="G113" s="40" t="inlineStr">
        <is>
          <t>Balcony Rail - Bldg. 1</t>
        </is>
      </c>
      <c r="H113" s="53" t="n">
        <v>46104</v>
      </c>
      <c r="I113" s="53" t="n">
        <v>46184</v>
      </c>
      <c r="J113" s="41" t="inlineStr">
        <is>
          <t>No</t>
        </is>
      </c>
      <c r="K113" s="41" t="n">
        <v>0</v>
      </c>
      <c r="L113" s="2" t="n"/>
      <c r="M113" s="2" t="n"/>
      <c r="N113" s="2" t="n"/>
      <c r="O113" s="2" t="n"/>
    </row>
    <row r="114" ht="15" customHeight="1">
      <c r="A114" s="2" t="n"/>
      <c r="B114" s="46" t="inlineStr">
        <is>
          <t>601E108</t>
        </is>
      </c>
      <c r="C114" s="46" t="inlineStr">
        <is>
          <t>STAIR-2 DETAILS</t>
        </is>
      </c>
      <c r="D114" s="46" t="inlineStr">
        <is>
          <t>Misc Metals</t>
        </is>
      </c>
      <c r="E114" s="47" t="inlineStr">
        <is>
          <t>A</t>
        </is>
      </c>
      <c r="F114" s="55" t="inlineStr">
        <is>
          <t>OFS</t>
        </is>
      </c>
      <c r="G114" s="46" t="inlineStr">
        <is>
          <t>Stairs - Bldg 1</t>
        </is>
      </c>
      <c r="H114" s="54" t="n">
        <v>46104</v>
      </c>
      <c r="I114" s="54" t="n">
        <v>46153</v>
      </c>
      <c r="J114" s="47" t="inlineStr">
        <is>
          <t>No</t>
        </is>
      </c>
      <c r="K114" s="47" t="n">
        <v>0</v>
      </c>
      <c r="L114" s="2" t="n"/>
      <c r="M114" s="2" t="n"/>
      <c r="N114" s="2" t="n"/>
      <c r="O114" s="2" t="n"/>
    </row>
    <row r="115" ht="15" customHeight="1">
      <c r="A115" s="2" t="n"/>
      <c r="B115" s="40" t="inlineStr">
        <is>
          <t>601E111</t>
        </is>
      </c>
      <c r="C115" s="40" t="inlineStr">
        <is>
          <t>STAIR-2 LAYOUT PLAN @ BLDG.1</t>
        </is>
      </c>
      <c r="D115" s="40" t="inlineStr">
        <is>
          <t>Misc Metals</t>
        </is>
      </c>
      <c r="E115" s="41" t="inlineStr">
        <is>
          <t>A</t>
        </is>
      </c>
      <c r="F115" s="55" t="inlineStr">
        <is>
          <t>OFS</t>
        </is>
      </c>
      <c r="G115" s="40" t="inlineStr">
        <is>
          <t>Stairs - Bldg 1</t>
        </is>
      </c>
      <c r="H115" s="53" t="n">
        <v>46104</v>
      </c>
      <c r="I115" s="53" t="n">
        <v>46153</v>
      </c>
      <c r="J115" s="41" t="inlineStr">
        <is>
          <t>No</t>
        </is>
      </c>
      <c r="K115" s="41" t="n">
        <v>0</v>
      </c>
      <c r="L115" s="2" t="n"/>
      <c r="M115" s="2" t="n"/>
      <c r="N115" s="2" t="n"/>
      <c r="O115" s="2" t="n"/>
    </row>
    <row r="116" ht="15" customHeight="1">
      <c r="A116" s="2" t="n"/>
      <c r="B116" s="46" t="inlineStr">
        <is>
          <t>601E112</t>
        </is>
      </c>
      <c r="C116" s="46" t="inlineStr">
        <is>
          <t>ELEVATIONS</t>
        </is>
      </c>
      <c r="D116" s="46" t="inlineStr">
        <is>
          <t>Misc Metals</t>
        </is>
      </c>
      <c r="E116" s="47" t="inlineStr">
        <is>
          <t>A</t>
        </is>
      </c>
      <c r="F116" s="55" t="inlineStr">
        <is>
          <t>OFS</t>
        </is>
      </c>
      <c r="G116" s="46" t="inlineStr">
        <is>
          <t>Stairs - Bldg 1</t>
        </is>
      </c>
      <c r="H116" s="54" t="n">
        <v>46104</v>
      </c>
      <c r="I116" s="54" t="n">
        <v>46153</v>
      </c>
      <c r="J116" s="47" t="inlineStr">
        <is>
          <t>No</t>
        </is>
      </c>
      <c r="K116" s="47" t="n">
        <v>0</v>
      </c>
      <c r="L116" s="2" t="n"/>
      <c r="M116" s="2" t="n"/>
      <c r="N116" s="2" t="n"/>
      <c r="O116" s="2" t="n"/>
    </row>
    <row r="117" ht="15" customHeight="1">
      <c r="A117" s="2" t="n"/>
      <c r="B117" s="40" t="inlineStr">
        <is>
          <t>601E114</t>
        </is>
      </c>
      <c r="C117" s="40" t="inlineStr">
        <is>
          <t>ELEVATIONS</t>
        </is>
      </c>
      <c r="D117" s="40" t="inlineStr">
        <is>
          <t>Misc Metals</t>
        </is>
      </c>
      <c r="E117" s="41" t="inlineStr">
        <is>
          <t>A</t>
        </is>
      </c>
      <c r="F117" s="55" t="inlineStr">
        <is>
          <t>OFS</t>
        </is>
      </c>
      <c r="G117" s="40" t="inlineStr">
        <is>
          <t>Stairs - Bldg 1</t>
        </is>
      </c>
      <c r="H117" s="53" t="n">
        <v>46104</v>
      </c>
      <c r="I117" s="53" t="n">
        <v>46153</v>
      </c>
      <c r="J117" s="41" t="inlineStr">
        <is>
          <t>No</t>
        </is>
      </c>
      <c r="K117" s="41" t="n">
        <v>0</v>
      </c>
      <c r="L117" s="2" t="n"/>
      <c r="M117" s="2" t="n"/>
      <c r="N117" s="2" t="n"/>
      <c r="O117" s="2" t="n"/>
    </row>
    <row r="118" ht="15" customHeight="1">
      <c r="A118" s="2" t="n"/>
      <c r="B118" s="46" t="inlineStr">
        <is>
          <t>601E115</t>
        </is>
      </c>
      <c r="C118" s="46" t="inlineStr">
        <is>
          <t>ELEVATIONS</t>
        </is>
      </c>
      <c r="D118" s="46" t="inlineStr">
        <is>
          <t>Misc Metals</t>
        </is>
      </c>
      <c r="E118" s="47" t="inlineStr">
        <is>
          <t>A</t>
        </is>
      </c>
      <c r="F118" s="55" t="inlineStr">
        <is>
          <t>OFS</t>
        </is>
      </c>
      <c r="G118" s="46" t="inlineStr">
        <is>
          <t>Stairs - Bldg 1</t>
        </is>
      </c>
      <c r="H118" s="54" t="n">
        <v>46104</v>
      </c>
      <c r="I118" s="54" t="n">
        <v>46153</v>
      </c>
      <c r="J118" s="47" t="inlineStr">
        <is>
          <t>No</t>
        </is>
      </c>
      <c r="K118" s="47" t="n">
        <v>0</v>
      </c>
      <c r="L118" s="2" t="n"/>
      <c r="M118" s="2" t="n"/>
      <c r="N118" s="2" t="n"/>
      <c r="O118" s="2" t="n"/>
    </row>
    <row r="119" ht="15" customHeight="1">
      <c r="A119" s="2" t="n"/>
      <c r="B119" s="40" t="inlineStr">
        <is>
          <t>601E116</t>
        </is>
      </c>
      <c r="C119" s="40" t="inlineStr">
        <is>
          <t>DETAILS &amp; SECTIONS</t>
        </is>
      </c>
      <c r="D119" s="40" t="inlineStr">
        <is>
          <t>Misc Metals</t>
        </is>
      </c>
      <c r="E119" s="41" t="inlineStr">
        <is>
          <t>A</t>
        </is>
      </c>
      <c r="F119" s="55" t="inlineStr">
        <is>
          <t>OFS</t>
        </is>
      </c>
      <c r="G119" s="40" t="inlineStr">
        <is>
          <t>Stairs - Bldg 1</t>
        </is>
      </c>
      <c r="H119" s="53" t="n">
        <v>46104</v>
      </c>
      <c r="I119" s="53" t="n">
        <v>46153</v>
      </c>
      <c r="J119" s="41" t="inlineStr">
        <is>
          <t>No</t>
        </is>
      </c>
      <c r="K119" s="41" t="n">
        <v>0</v>
      </c>
      <c r="L119" s="2" t="n"/>
      <c r="M119" s="2" t="n"/>
      <c r="N119" s="2" t="n"/>
      <c r="O119" s="2" t="n"/>
    </row>
    <row r="120" ht="15" customHeight="1">
      <c r="A120" s="2" t="n"/>
      <c r="B120" s="46" t="inlineStr">
        <is>
          <t>601E117</t>
        </is>
      </c>
      <c r="C120" s="46" t="inlineStr">
        <is>
          <t>DETAILS &amp; SECTIONS</t>
        </is>
      </c>
      <c r="D120" s="46" t="inlineStr">
        <is>
          <t>Misc Metals</t>
        </is>
      </c>
      <c r="E120" s="47" t="inlineStr">
        <is>
          <t>A</t>
        </is>
      </c>
      <c r="F120" s="55" t="inlineStr">
        <is>
          <t>OFS</t>
        </is>
      </c>
      <c r="G120" s="46" t="inlineStr">
        <is>
          <t>Stairs - Bldg 1</t>
        </is>
      </c>
      <c r="H120" s="54" t="n">
        <v>46104</v>
      </c>
      <c r="I120" s="54" t="n">
        <v>46153</v>
      </c>
      <c r="J120" s="47" t="inlineStr">
        <is>
          <t>No</t>
        </is>
      </c>
      <c r="K120" s="47" t="n">
        <v>0</v>
      </c>
      <c r="L120" s="2" t="n"/>
      <c r="M120" s="2" t="n"/>
      <c r="N120" s="2" t="n"/>
      <c r="O120" s="2" t="n"/>
    </row>
    <row r="121" ht="15" customHeight="1">
      <c r="A121" s="2" t="n"/>
      <c r="B121" s="40" t="inlineStr">
        <is>
          <t>601E121</t>
        </is>
      </c>
      <c r="C121" s="40" t="inlineStr">
        <is>
          <t>ROOF ACCESS LADDER LAYOUT PLAN</t>
        </is>
      </c>
      <c r="D121" s="40" t="inlineStr">
        <is>
          <t>Misc Metals</t>
        </is>
      </c>
      <c r="E121" s="41" t="inlineStr">
        <is>
          <t>A</t>
        </is>
      </c>
      <c r="F121" s="43" t="inlineStr">
        <is>
          <t>Released</t>
        </is>
      </c>
      <c r="G121" s="40" t="inlineStr">
        <is>
          <t>Ladders - Bldg. 1 &amp; 2</t>
        </is>
      </c>
      <c r="H121" s="53" t="n">
        <v>46120</v>
      </c>
      <c r="I121" s="41" t="inlineStr"/>
      <c r="J121" s="41" t="inlineStr">
        <is>
          <t>No</t>
        </is>
      </c>
      <c r="K121" s="41" t="n">
        <v>0</v>
      </c>
      <c r="L121" s="2" t="n"/>
      <c r="M121" s="2" t="n"/>
      <c r="N121" s="2" t="n"/>
      <c r="O121" s="2" t="n"/>
    </row>
    <row r="122" ht="15" customHeight="1">
      <c r="A122" s="2" t="n"/>
      <c r="B122" s="46" t="inlineStr">
        <is>
          <t>601E123</t>
        </is>
      </c>
      <c r="C122" s="46" t="inlineStr">
        <is>
          <t>BALCONY GUARDRAIL LAYOUT PLAN</t>
        </is>
      </c>
      <c r="D122" s="46" t="inlineStr">
        <is>
          <t>Misc Metals</t>
        </is>
      </c>
      <c r="E122" s="47" t="inlineStr">
        <is>
          <t xml:space="preserve">A </t>
        </is>
      </c>
      <c r="F122" s="55" t="inlineStr">
        <is>
          <t>OFS</t>
        </is>
      </c>
      <c r="G122" s="46" t="inlineStr">
        <is>
          <t>Balcony Rail - Bldg. 1</t>
        </is>
      </c>
      <c r="H122" s="54" t="n">
        <v>46104</v>
      </c>
      <c r="I122" s="54" t="n">
        <v>46184</v>
      </c>
      <c r="J122" s="47" t="inlineStr">
        <is>
          <t>No</t>
        </is>
      </c>
      <c r="K122" s="47" t="n">
        <v>0</v>
      </c>
      <c r="L122" s="2" t="n"/>
      <c r="M122" s="2" t="n"/>
      <c r="N122" s="2" t="n"/>
      <c r="O122" s="2" t="n"/>
    </row>
    <row r="123" ht="15" customHeight="1">
      <c r="A123" s="2" t="n"/>
      <c r="B123" s="40" t="inlineStr">
        <is>
          <t>602E103</t>
        </is>
      </c>
      <c r="C123" s="40" t="inlineStr">
        <is>
          <t>STAIR-2 LAYOUT PLAN</t>
        </is>
      </c>
      <c r="D123" s="40" t="inlineStr">
        <is>
          <t>Misc Metals</t>
        </is>
      </c>
      <c r="E123" s="41" t="inlineStr">
        <is>
          <t>A</t>
        </is>
      </c>
      <c r="F123" s="55" t="inlineStr">
        <is>
          <t>OFS</t>
        </is>
      </c>
      <c r="G123" s="40" t="inlineStr">
        <is>
          <t>Stairs - Bldg. 2</t>
        </is>
      </c>
      <c r="H123" s="53" t="n">
        <v>46120</v>
      </c>
      <c r="I123" s="53" t="n">
        <v>46153</v>
      </c>
      <c r="J123" s="41" t="inlineStr">
        <is>
          <t>No</t>
        </is>
      </c>
      <c r="K123" s="41" t="n">
        <v>0</v>
      </c>
      <c r="L123" s="2" t="n"/>
      <c r="M123" s="2" t="n"/>
      <c r="N123" s="2" t="n"/>
      <c r="O123" s="2" t="n"/>
    </row>
    <row r="124" ht="15" customHeight="1">
      <c r="A124" s="2" t="n"/>
      <c r="B124" s="46" t="inlineStr">
        <is>
          <t>602E104</t>
        </is>
      </c>
      <c r="C124" s="46" t="inlineStr">
        <is>
          <t>STAIR-3 LAYOUT PLAN</t>
        </is>
      </c>
      <c r="D124" s="46" t="inlineStr">
        <is>
          <t>Misc Metals</t>
        </is>
      </c>
      <c r="E124" s="47" t="inlineStr">
        <is>
          <t>A</t>
        </is>
      </c>
      <c r="F124" s="55" t="inlineStr">
        <is>
          <t>OFS</t>
        </is>
      </c>
      <c r="G124" s="46" t="inlineStr">
        <is>
          <t>Stairs - Bldg. 2</t>
        </is>
      </c>
      <c r="H124" s="54" t="n">
        <v>46120</v>
      </c>
      <c r="I124" s="54" t="n">
        <v>46153</v>
      </c>
      <c r="J124" s="47" t="inlineStr">
        <is>
          <t>No</t>
        </is>
      </c>
      <c r="K124" s="47" t="n">
        <v>0</v>
      </c>
      <c r="L124" s="2" t="n"/>
      <c r="M124" s="2" t="n"/>
      <c r="N124" s="2" t="n"/>
      <c r="O124" s="2" t="n"/>
    </row>
    <row r="125" ht="15" customHeight="1">
      <c r="A125" s="2" t="n"/>
      <c r="B125" s="40" t="inlineStr">
        <is>
          <t>602E105</t>
        </is>
      </c>
      <c r="C125" s="40" t="inlineStr">
        <is>
          <t>CABLE RAIL &amp; END FITTING TABLE</t>
        </is>
      </c>
      <c r="D125" s="40" t="inlineStr">
        <is>
          <t>Misc Metals</t>
        </is>
      </c>
      <c r="E125" s="41" t="inlineStr">
        <is>
          <t>A</t>
        </is>
      </c>
      <c r="F125" s="55" t="inlineStr">
        <is>
          <t>OFS</t>
        </is>
      </c>
      <c r="G125" s="40" t="inlineStr">
        <is>
          <t>Stairs - Bldg. 2</t>
        </is>
      </c>
      <c r="H125" s="53" t="n">
        <v>46120</v>
      </c>
      <c r="I125" s="53" t="n">
        <v>46153</v>
      </c>
      <c r="J125" s="41" t="inlineStr">
        <is>
          <t>No</t>
        </is>
      </c>
      <c r="K125" s="41" t="n">
        <v>0</v>
      </c>
      <c r="L125" s="2" t="n"/>
      <c r="M125" s="2" t="n"/>
      <c r="N125" s="2" t="n"/>
      <c r="O125" s="2" t="n"/>
    </row>
    <row r="126" ht="15" customHeight="1">
      <c r="A126" s="2" t="n"/>
      <c r="B126" s="46" t="inlineStr">
        <is>
          <t>602E1051</t>
        </is>
      </c>
      <c r="C126" s="46" t="inlineStr">
        <is>
          <t>SS CABLE RAIL FITTING @ BALCONY</t>
        </is>
      </c>
      <c r="D126" s="46" t="inlineStr">
        <is>
          <t>Misc Metals</t>
        </is>
      </c>
      <c r="E126" s="47" t="inlineStr">
        <is>
          <t xml:space="preserve">A </t>
        </is>
      </c>
      <c r="F126" s="55" t="inlineStr">
        <is>
          <t>OFS</t>
        </is>
      </c>
      <c r="G126" s="46" t="inlineStr">
        <is>
          <t>Balcony Rail - Bldg. 2</t>
        </is>
      </c>
      <c r="H126" s="54" t="n">
        <v>46104</v>
      </c>
      <c r="I126" s="54" t="n">
        <v>46182</v>
      </c>
      <c r="J126" s="47" t="inlineStr">
        <is>
          <t>No</t>
        </is>
      </c>
      <c r="K126" s="47" t="n">
        <v>0</v>
      </c>
      <c r="L126" s="2" t="n"/>
      <c r="M126" s="2" t="n"/>
      <c r="N126" s="2" t="n"/>
      <c r="O126" s="2" t="n"/>
    </row>
    <row r="127" ht="15" customHeight="1">
      <c r="A127" s="2" t="n"/>
      <c r="B127" s="40" t="inlineStr">
        <is>
          <t>602E121</t>
        </is>
      </c>
      <c r="C127" s="40" t="inlineStr">
        <is>
          <t>BALCONY GUARDRAIL LAYOUT PLAN</t>
        </is>
      </c>
      <c r="D127" s="40" t="inlineStr">
        <is>
          <t>Misc Metals</t>
        </is>
      </c>
      <c r="E127" s="41" t="inlineStr">
        <is>
          <t xml:space="preserve">A </t>
        </is>
      </c>
      <c r="F127" s="55" t="inlineStr">
        <is>
          <t>OFS</t>
        </is>
      </c>
      <c r="G127" s="40" t="inlineStr">
        <is>
          <t>Balcony Rail - Bldg. 2</t>
        </is>
      </c>
      <c r="H127" s="53" t="n">
        <v>46104</v>
      </c>
      <c r="I127" s="53" t="n">
        <v>46182</v>
      </c>
      <c r="J127" s="41" t="inlineStr">
        <is>
          <t>No</t>
        </is>
      </c>
      <c r="K127" s="41" t="n">
        <v>0</v>
      </c>
      <c r="L127" s="2" t="n"/>
      <c r="M127" s="2" t="n"/>
      <c r="N127" s="2" t="n"/>
      <c r="O127" s="2" t="n"/>
    </row>
    <row r="128" ht="15" customHeight="1">
      <c r="A128" s="2" t="n"/>
      <c r="B128" s="46" t="inlineStr">
        <is>
          <t>602E122</t>
        </is>
      </c>
      <c r="C128" s="46" t="inlineStr">
        <is>
          <t>BALCONY GUARDRAIL LAYOUT PLAN</t>
        </is>
      </c>
      <c r="D128" s="46" t="inlineStr">
        <is>
          <t>Misc Metals</t>
        </is>
      </c>
      <c r="E128" s="47" t="inlineStr">
        <is>
          <t xml:space="preserve">A </t>
        </is>
      </c>
      <c r="F128" s="55" t="inlineStr">
        <is>
          <t>OFS</t>
        </is>
      </c>
      <c r="G128" s="46" t="inlineStr">
        <is>
          <t>Balcony Rail - Bldg. 2</t>
        </is>
      </c>
      <c r="H128" s="54" t="n">
        <v>46104</v>
      </c>
      <c r="I128" s="54" t="n">
        <v>46182</v>
      </c>
      <c r="J128" s="47" t="inlineStr">
        <is>
          <t>No</t>
        </is>
      </c>
      <c r="K128" s="47" t="n">
        <v>0</v>
      </c>
      <c r="L128" s="2" t="n"/>
      <c r="M128" s="2" t="n"/>
      <c r="N128" s="2" t="n"/>
      <c r="O128" s="2" t="n"/>
    </row>
    <row r="129" ht="15" customHeight="1">
      <c r="A129" s="2" t="n"/>
      <c r="B129" s="40" t="inlineStr">
        <is>
          <t>602E123</t>
        </is>
      </c>
      <c r="C129" s="40" t="inlineStr">
        <is>
          <t>BALCONY GUARDRAIL LAYOUT PLAN</t>
        </is>
      </c>
      <c r="D129" s="40" t="inlineStr">
        <is>
          <t>Misc Metals</t>
        </is>
      </c>
      <c r="E129" s="41" t="inlineStr">
        <is>
          <t xml:space="preserve">A </t>
        </is>
      </c>
      <c r="F129" s="55" t="inlineStr">
        <is>
          <t>OFS</t>
        </is>
      </c>
      <c r="G129" s="40" t="inlineStr">
        <is>
          <t>Balcony Rail - Bldg. 2</t>
        </is>
      </c>
      <c r="H129" s="53" t="n">
        <v>46104</v>
      </c>
      <c r="I129" s="53" t="n">
        <v>46182</v>
      </c>
      <c r="J129" s="41" t="inlineStr">
        <is>
          <t>No</t>
        </is>
      </c>
      <c r="K129" s="41" t="n">
        <v>0</v>
      </c>
      <c r="L129" s="2" t="n"/>
      <c r="M129" s="2" t="n"/>
      <c r="N129" s="2" t="n"/>
      <c r="O129" s="2" t="n"/>
    </row>
    <row r="130" ht="15" customHeight="1">
      <c r="A130" s="2" t="n"/>
      <c r="B130" s="46" t="inlineStr">
        <is>
          <t>602E124</t>
        </is>
      </c>
      <c r="C130" s="46" t="inlineStr">
        <is>
          <t>BALCONY GUARDRAIL LAYOUT PLAN</t>
        </is>
      </c>
      <c r="D130" s="46" t="inlineStr">
        <is>
          <t>Misc Metals</t>
        </is>
      </c>
      <c r="E130" s="47" t="inlineStr">
        <is>
          <t xml:space="preserve">A </t>
        </is>
      </c>
      <c r="F130" s="55" t="inlineStr">
        <is>
          <t>OFS</t>
        </is>
      </c>
      <c r="G130" s="46" t="inlineStr">
        <is>
          <t>Balcony Rail - Bldg. 2</t>
        </is>
      </c>
      <c r="H130" s="54" t="n">
        <v>46104</v>
      </c>
      <c r="I130" s="54" t="n">
        <v>46182</v>
      </c>
      <c r="J130" s="47" t="inlineStr">
        <is>
          <t>No</t>
        </is>
      </c>
      <c r="K130" s="47" t="n">
        <v>0</v>
      </c>
      <c r="L130" s="2" t="n"/>
      <c r="M130" s="2" t="n"/>
      <c r="N130" s="2" t="n"/>
      <c r="O130" s="2" t="n"/>
    </row>
    <row r="131" ht="15" customHeight="1">
      <c r="A131" s="2" t="n"/>
      <c r="B131" s="40" t="inlineStr">
        <is>
          <t>602E125</t>
        </is>
      </c>
      <c r="C131" s="40" t="inlineStr">
        <is>
          <t>ROOF ACCESS LADDER LAYOUT PLAN @BLDG.2</t>
        </is>
      </c>
      <c r="D131" s="40" t="inlineStr">
        <is>
          <t>Misc Metals</t>
        </is>
      </c>
      <c r="E131" s="41" t="inlineStr">
        <is>
          <t>A</t>
        </is>
      </c>
      <c r="F131" s="43" t="inlineStr">
        <is>
          <t>Released</t>
        </is>
      </c>
      <c r="G131" s="40" t="inlineStr">
        <is>
          <t>Ladders - Bldg. 1 &amp; 2</t>
        </is>
      </c>
      <c r="H131" s="53" t="n">
        <v>46120</v>
      </c>
      <c r="I131" s="41" t="inlineStr"/>
      <c r="J131" s="41" t="inlineStr">
        <is>
          <t>No</t>
        </is>
      </c>
      <c r="K131" s="41" t="n">
        <v>0</v>
      </c>
      <c r="L131" s="2" t="n"/>
      <c r="M131" s="2" t="n"/>
      <c r="N131" s="2" t="n"/>
      <c r="O131" s="2" t="n"/>
    </row>
    <row r="132" ht="15" customHeight="1">
      <c r="A132" s="2" t="n"/>
      <c r="B132" s="46" t="inlineStr">
        <is>
          <t>602E126</t>
        </is>
      </c>
      <c r="C132" s="46" t="inlineStr">
        <is>
          <t>ROOF ACCESS LADDER LAYOUT PLAN @BLDG.2</t>
        </is>
      </c>
      <c r="D132" s="46" t="inlineStr">
        <is>
          <t>Misc Metals</t>
        </is>
      </c>
      <c r="E132" s="47" t="inlineStr">
        <is>
          <t>A</t>
        </is>
      </c>
      <c r="F132" s="43" t="inlineStr">
        <is>
          <t>Released</t>
        </is>
      </c>
      <c r="G132" s="46" t="inlineStr">
        <is>
          <t>Ladders - Bldg. 1 &amp; 2</t>
        </is>
      </c>
      <c r="H132" s="54" t="n">
        <v>46120</v>
      </c>
      <c r="I132" s="47" t="inlineStr"/>
      <c r="J132" s="47" t="inlineStr">
        <is>
          <t>No</t>
        </is>
      </c>
      <c r="K132" s="47" t="n">
        <v>0</v>
      </c>
      <c r="L132" s="2" t="n"/>
      <c r="M132" s="2" t="n"/>
      <c r="N132" s="2" t="n"/>
      <c r="O132" s="2" t="n"/>
    </row>
    <row r="133" ht="15" customHeight="1">
      <c r="A133" s="2" t="n"/>
      <c r="B133" s="40" t="inlineStr">
        <is>
          <t>602E128</t>
        </is>
      </c>
      <c r="C133" s="40" t="inlineStr">
        <is>
          <t>ROOF ACCESS LADDER LAYOUT PLAN @BLDG.2</t>
        </is>
      </c>
      <c r="D133" s="40" t="inlineStr">
        <is>
          <t>Misc Metals</t>
        </is>
      </c>
      <c r="E133" s="41" t="inlineStr">
        <is>
          <t>A</t>
        </is>
      </c>
      <c r="F133" s="43" t="inlineStr">
        <is>
          <t>Released</t>
        </is>
      </c>
      <c r="G133" s="40" t="inlineStr">
        <is>
          <t>Ladders - Bldg. 1 &amp; 2</t>
        </is>
      </c>
      <c r="H133" s="53" t="n">
        <v>46120</v>
      </c>
      <c r="I133" s="41" t="inlineStr"/>
      <c r="J133" s="41" t="inlineStr">
        <is>
          <t>No</t>
        </is>
      </c>
      <c r="K133" s="41" t="n">
        <v>0</v>
      </c>
      <c r="L133" s="2" t="n"/>
      <c r="M133" s="2" t="n"/>
      <c r="N133" s="2" t="n"/>
      <c r="O133" s="2" t="n"/>
    </row>
    <row r="134" ht="15" customHeight="1">
      <c r="A134" s="2" t="n"/>
      <c r="B134" s="46" t="inlineStr">
        <is>
          <t>602E151</t>
        </is>
      </c>
      <c r="C134" s="46" t="inlineStr">
        <is>
          <t>STAIR-2 ELEVATION</t>
        </is>
      </c>
      <c r="D134" s="46" t="inlineStr">
        <is>
          <t>Misc Metals</t>
        </is>
      </c>
      <c r="E134" s="47" t="inlineStr">
        <is>
          <t>A</t>
        </is>
      </c>
      <c r="F134" s="55" t="inlineStr">
        <is>
          <t>OFS</t>
        </is>
      </c>
      <c r="G134" s="46" t="inlineStr">
        <is>
          <t>Stairs - Bldg. 2</t>
        </is>
      </c>
      <c r="H134" s="54" t="n">
        <v>46120</v>
      </c>
      <c r="I134" s="54" t="n">
        <v>46153</v>
      </c>
      <c r="J134" s="47" t="inlineStr">
        <is>
          <t>No</t>
        </is>
      </c>
      <c r="K134" s="47" t="n">
        <v>0</v>
      </c>
      <c r="L134" s="2" t="n"/>
      <c r="M134" s="2" t="n"/>
      <c r="N134" s="2" t="n"/>
      <c r="O134" s="2" t="n"/>
    </row>
    <row r="135" ht="15" customHeight="1">
      <c r="A135" s="2" t="n"/>
      <c r="B135" s="40" t="inlineStr">
        <is>
          <t>602E152</t>
        </is>
      </c>
      <c r="C135" s="40" t="inlineStr">
        <is>
          <t>STAIR-3 ELEVATION</t>
        </is>
      </c>
      <c r="D135" s="40" t="inlineStr">
        <is>
          <t>Misc Metals</t>
        </is>
      </c>
      <c r="E135" s="41" t="inlineStr">
        <is>
          <t>A</t>
        </is>
      </c>
      <c r="F135" s="55" t="inlineStr">
        <is>
          <t>OFS</t>
        </is>
      </c>
      <c r="G135" s="40" t="inlineStr">
        <is>
          <t>Stairs - Bldg. 2</t>
        </is>
      </c>
      <c r="H135" s="53" t="n">
        <v>46120</v>
      </c>
      <c r="I135" s="53" t="n">
        <v>46153</v>
      </c>
      <c r="J135" s="41" t="inlineStr">
        <is>
          <t>No</t>
        </is>
      </c>
      <c r="K135" s="41" t="n">
        <v>0</v>
      </c>
      <c r="L135" s="2" t="n"/>
      <c r="M135" s="2" t="n"/>
      <c r="N135" s="2" t="n"/>
      <c r="O135" s="2" t="n"/>
    </row>
    <row r="136" ht="15" customHeight="1">
      <c r="A136" s="2" t="n"/>
      <c r="B136" s="46" t="inlineStr">
        <is>
          <t>602E153</t>
        </is>
      </c>
      <c r="C136" s="46" t="inlineStr">
        <is>
          <t>STAIR-2 &amp; STAIR-3 ELEVATION</t>
        </is>
      </c>
      <c r="D136" s="46" t="inlineStr">
        <is>
          <t>Misc Metals</t>
        </is>
      </c>
      <c r="E136" s="47" t="inlineStr">
        <is>
          <t>A</t>
        </is>
      </c>
      <c r="F136" s="55" t="inlineStr">
        <is>
          <t>OFS</t>
        </is>
      </c>
      <c r="G136" s="46" t="inlineStr">
        <is>
          <t>Stairs - Bldg. 2</t>
        </is>
      </c>
      <c r="H136" s="54" t="n">
        <v>46120</v>
      </c>
      <c r="I136" s="54" t="n">
        <v>46153</v>
      </c>
      <c r="J136" s="47" t="inlineStr">
        <is>
          <t>No</t>
        </is>
      </c>
      <c r="K136" s="47" t="n">
        <v>0</v>
      </c>
      <c r="L136" s="2" t="n"/>
      <c r="M136" s="2" t="n"/>
      <c r="N136" s="2" t="n"/>
      <c r="O136" s="2" t="n"/>
    </row>
    <row r="137" ht="15" customHeight="1">
      <c r="A137" s="2" t="n"/>
      <c r="B137" s="40" t="inlineStr">
        <is>
          <t>602M103</t>
        </is>
      </c>
      <c r="C137" s="40" t="inlineStr">
        <is>
          <t>CABLE RAIL &amp; END FITTING TABLE</t>
        </is>
      </c>
      <c r="D137" s="40" t="inlineStr">
        <is>
          <t>Misc Metals</t>
        </is>
      </c>
      <c r="E137" s="41" t="inlineStr">
        <is>
          <t xml:space="preserve">A </t>
        </is>
      </c>
      <c r="F137" s="55" t="inlineStr">
        <is>
          <t>OFS</t>
        </is>
      </c>
      <c r="G137" s="40" t="inlineStr">
        <is>
          <t>Balcony Rail - Bldg. 2</t>
        </is>
      </c>
      <c r="H137" s="53" t="n">
        <v>46104</v>
      </c>
      <c r="I137" s="53" t="n">
        <v>46182</v>
      </c>
      <c r="J137" s="41" t="inlineStr">
        <is>
          <t>No</t>
        </is>
      </c>
      <c r="K137" s="41" t="n">
        <v>0</v>
      </c>
      <c r="L137" s="2" t="n"/>
      <c r="M137" s="2" t="n"/>
      <c r="N137" s="2" t="n"/>
      <c r="O137" s="2" t="n"/>
    </row>
    <row r="138" ht="15" customHeight="1">
      <c r="A138" s="2" t="n"/>
      <c r="B138" s="46" t="inlineStr">
        <is>
          <t>602M106</t>
        </is>
      </c>
      <c r="C138" s="46" t="inlineStr">
        <is>
          <t>CABLE RAIL &amp; END FITTING TABLE</t>
        </is>
      </c>
      <c r="D138" s="46" t="inlineStr">
        <is>
          <t>Misc Metals</t>
        </is>
      </c>
      <c r="E138" s="47" t="inlineStr">
        <is>
          <t xml:space="preserve">A </t>
        </is>
      </c>
      <c r="F138" s="55" t="inlineStr">
        <is>
          <t>OFS</t>
        </is>
      </c>
      <c r="G138" s="46" t="inlineStr">
        <is>
          <t>Balcony Rail - Bldg. 2</t>
        </is>
      </c>
      <c r="H138" s="54" t="n">
        <v>46104</v>
      </c>
      <c r="I138" s="54" t="n">
        <v>46182</v>
      </c>
      <c r="J138" s="47" t="inlineStr">
        <is>
          <t>No</t>
        </is>
      </c>
      <c r="K138" s="47" t="n">
        <v>0</v>
      </c>
      <c r="L138" s="2" t="n"/>
      <c r="M138" s="2" t="n"/>
      <c r="N138" s="2" t="n"/>
      <c r="O138" s="2" t="n"/>
    </row>
    <row r="139" ht="15" customHeight="1">
      <c r="A139" s="2" t="n"/>
      <c r="B139" s="40" t="inlineStr">
        <is>
          <t>602M107</t>
        </is>
      </c>
      <c r="C139" s="40" t="inlineStr">
        <is>
          <t>CABLE RAIL &amp; END FITTING TABLE</t>
        </is>
      </c>
      <c r="D139" s="40" t="inlineStr">
        <is>
          <t>Misc Metals</t>
        </is>
      </c>
      <c r="E139" s="41" t="inlineStr">
        <is>
          <t xml:space="preserve">A </t>
        </is>
      </c>
      <c r="F139" s="55" t="inlineStr">
        <is>
          <t>OFS</t>
        </is>
      </c>
      <c r="G139" s="40" t="inlineStr">
        <is>
          <t>Balcony Rail - Bldg. 2</t>
        </is>
      </c>
      <c r="H139" s="53" t="n">
        <v>46104</v>
      </c>
      <c r="I139" s="53" t="n">
        <v>46182</v>
      </c>
      <c r="J139" s="41" t="inlineStr">
        <is>
          <t>No</t>
        </is>
      </c>
      <c r="K139" s="41" t="n">
        <v>0</v>
      </c>
      <c r="L139" s="2" t="n"/>
      <c r="M139" s="2" t="n"/>
      <c r="N139" s="2" t="n"/>
      <c r="O139" s="2" t="n"/>
    </row>
    <row r="140" ht="15" customHeight="1">
      <c r="A140" s="2" t="n"/>
      <c r="B140" s="46" t="inlineStr">
        <is>
          <t>602M108</t>
        </is>
      </c>
      <c r="C140" s="46" t="inlineStr">
        <is>
          <t>CABLE RAIL &amp; END FITTING TABLE</t>
        </is>
      </c>
      <c r="D140" s="46" t="inlineStr">
        <is>
          <t>Misc Metals</t>
        </is>
      </c>
      <c r="E140" s="47" t="inlineStr">
        <is>
          <t xml:space="preserve">A </t>
        </is>
      </c>
      <c r="F140" s="55" t="inlineStr">
        <is>
          <t>OFS</t>
        </is>
      </c>
      <c r="G140" s="46" t="inlineStr">
        <is>
          <t>Balcony Rail - Bldg. 2</t>
        </is>
      </c>
      <c r="H140" s="54" t="n">
        <v>46104</v>
      </c>
      <c r="I140" s="54" t="n">
        <v>46182</v>
      </c>
      <c r="J140" s="47" t="inlineStr">
        <is>
          <t>No</t>
        </is>
      </c>
      <c r="K140" s="47" t="n">
        <v>0</v>
      </c>
      <c r="L140" s="2" t="n"/>
      <c r="M140" s="2" t="n"/>
      <c r="N140" s="2" t="n"/>
      <c r="O140" s="2" t="n"/>
    </row>
    <row r="141" ht="15" customHeight="1">
      <c r="A141" s="2" t="n"/>
      <c r="B141" s="40" t="inlineStr">
        <is>
          <t>602M110</t>
        </is>
      </c>
      <c r="C141" s="40" t="inlineStr">
        <is>
          <t>CABLE RAIL &amp; END FITTING TABLE</t>
        </is>
      </c>
      <c r="D141" s="40" t="inlineStr">
        <is>
          <t>Misc Metals</t>
        </is>
      </c>
      <c r="E141" s="41" t="inlineStr">
        <is>
          <t xml:space="preserve">A </t>
        </is>
      </c>
      <c r="F141" s="55" t="inlineStr">
        <is>
          <t>OFS</t>
        </is>
      </c>
      <c r="G141" s="40" t="inlineStr">
        <is>
          <t>Balcony Rail - Bldg. 2</t>
        </is>
      </c>
      <c r="H141" s="53" t="n">
        <v>46104</v>
      </c>
      <c r="I141" s="53" t="n">
        <v>46182</v>
      </c>
      <c r="J141" s="41" t="inlineStr">
        <is>
          <t>No</t>
        </is>
      </c>
      <c r="K141" s="41" t="n">
        <v>0</v>
      </c>
      <c r="L141" s="2" t="n"/>
      <c r="M141" s="2" t="n"/>
      <c r="N141" s="2" t="n"/>
      <c r="O141" s="2" t="n"/>
    </row>
    <row r="142" ht="15" customHeight="1">
      <c r="A142" s="2" t="n"/>
      <c r="B142" s="46" t="inlineStr">
        <is>
          <t>602M111</t>
        </is>
      </c>
      <c r="C142" s="46" t="inlineStr">
        <is>
          <t>CABLE RAIL &amp; END FITTING TABLE</t>
        </is>
      </c>
      <c r="D142" s="46" t="inlineStr">
        <is>
          <t>Misc Metals</t>
        </is>
      </c>
      <c r="E142" s="47" t="inlineStr">
        <is>
          <t xml:space="preserve">A </t>
        </is>
      </c>
      <c r="F142" s="55" t="inlineStr">
        <is>
          <t>OFS</t>
        </is>
      </c>
      <c r="G142" s="46" t="inlineStr">
        <is>
          <t>Balcony Rail - Bldg. 2</t>
        </is>
      </c>
      <c r="H142" s="54" t="n">
        <v>46104</v>
      </c>
      <c r="I142" s="54" t="n">
        <v>46182</v>
      </c>
      <c r="J142" s="47" t="inlineStr">
        <is>
          <t>No</t>
        </is>
      </c>
      <c r="K142" s="47" t="n">
        <v>0</v>
      </c>
      <c r="L142" s="2" t="n"/>
      <c r="M142" s="2" t="n"/>
      <c r="N142" s="2" t="n"/>
      <c r="O142" s="2" t="n"/>
    </row>
    <row r="143" ht="15" customHeight="1">
      <c r="A143" s="2" t="n"/>
      <c r="B143" s="40" t="inlineStr">
        <is>
          <t>701E101</t>
        </is>
      </c>
      <c r="C143" s="40" t="inlineStr">
        <is>
          <t>MISC. OVERALL PLAN</t>
        </is>
      </c>
      <c r="D143" s="40" t="inlineStr">
        <is>
          <t>Misc Metals</t>
        </is>
      </c>
      <c r="E143" s="41" t="inlineStr">
        <is>
          <t>A</t>
        </is>
      </c>
      <c r="F143" s="43" t="inlineStr">
        <is>
          <t>Released</t>
        </is>
      </c>
      <c r="G143" s="40" t="inlineStr">
        <is>
          <t>Site Misc. Steel</t>
        </is>
      </c>
      <c r="H143" s="53" t="n">
        <v>46112</v>
      </c>
      <c r="I143" s="53" t="n">
        <v>46168</v>
      </c>
      <c r="J143" s="41" t="inlineStr">
        <is>
          <t>No</t>
        </is>
      </c>
      <c r="K143" s="41" t="n">
        <v>0</v>
      </c>
      <c r="L143" s="2" t="n"/>
      <c r="M143" s="2" t="n"/>
      <c r="N143" s="2" t="n"/>
      <c r="O143" s="2" t="n"/>
    </row>
    <row r="144" ht="15" customHeight="1">
      <c r="A144" s="2" t="n"/>
      <c r="B144" s="46" t="inlineStr">
        <is>
          <t>701E102</t>
        </is>
      </c>
      <c r="C144" s="46" t="inlineStr">
        <is>
          <t>DOUBLE TRASH ENCLOSURE GATE PLAN @BLDG-1</t>
        </is>
      </c>
      <c r="D144" s="46" t="inlineStr">
        <is>
          <t>Misc Metals</t>
        </is>
      </c>
      <c r="E144" s="47" t="inlineStr">
        <is>
          <t>A</t>
        </is>
      </c>
      <c r="F144" s="43" t="inlineStr">
        <is>
          <t>Released</t>
        </is>
      </c>
      <c r="G144" s="46" t="inlineStr">
        <is>
          <t>Site Misc. Steel</t>
        </is>
      </c>
      <c r="H144" s="54" t="n">
        <v>46112</v>
      </c>
      <c r="I144" s="54" t="n">
        <v>46168</v>
      </c>
      <c r="J144" s="47" t="inlineStr">
        <is>
          <t>No</t>
        </is>
      </c>
      <c r="K144" s="47" t="n">
        <v>0</v>
      </c>
      <c r="L144" s="2" t="n"/>
      <c r="M144" s="2" t="n"/>
      <c r="N144" s="2" t="n"/>
      <c r="O144" s="2" t="n"/>
    </row>
    <row r="145" ht="15" customHeight="1">
      <c r="A145" s="2" t="n"/>
      <c r="B145" s="40" t="inlineStr">
        <is>
          <t>701E103</t>
        </is>
      </c>
      <c r="C145" s="40" t="inlineStr">
        <is>
          <t>SINGLE TRASH ENCLOSURE GATE PLAN @ BLDG-2</t>
        </is>
      </c>
      <c r="D145" s="40" t="inlineStr">
        <is>
          <t>Misc Metals</t>
        </is>
      </c>
      <c r="E145" s="41" t="inlineStr">
        <is>
          <t>A</t>
        </is>
      </c>
      <c r="F145" s="43" t="inlineStr">
        <is>
          <t>Released</t>
        </is>
      </c>
      <c r="G145" s="40" t="inlineStr">
        <is>
          <t>Site Misc. Steel</t>
        </is>
      </c>
      <c r="H145" s="53" t="n">
        <v>46112</v>
      </c>
      <c r="I145" s="53" t="n">
        <v>46168</v>
      </c>
      <c r="J145" s="41" t="inlineStr">
        <is>
          <t>No</t>
        </is>
      </c>
      <c r="K145" s="41" t="n">
        <v>0</v>
      </c>
      <c r="L145" s="2" t="n"/>
      <c r="M145" s="2" t="n"/>
      <c r="N145" s="2" t="n"/>
      <c r="O145" s="2" t="n"/>
    </row>
    <row r="146" ht="15" customHeight="1">
      <c r="A146" s="2" t="n"/>
      <c r="B146" s="46" t="inlineStr">
        <is>
          <t>701E104</t>
        </is>
      </c>
      <c r="C146" s="46" t="inlineStr">
        <is>
          <t>SECTION &amp; DETAILS</t>
        </is>
      </c>
      <c r="D146" s="46" t="inlineStr">
        <is>
          <t>Misc Metals</t>
        </is>
      </c>
      <c r="E146" s="47" t="inlineStr">
        <is>
          <t>A</t>
        </is>
      </c>
      <c r="F146" s="43" t="inlineStr">
        <is>
          <t>Released</t>
        </is>
      </c>
      <c r="G146" s="46" t="inlineStr">
        <is>
          <t>Site Misc. Steel</t>
        </is>
      </c>
      <c r="H146" s="54" t="n">
        <v>46112</v>
      </c>
      <c r="I146" s="54" t="n">
        <v>46168</v>
      </c>
      <c r="J146" s="47" t="inlineStr">
        <is>
          <t>No</t>
        </is>
      </c>
      <c r="K146" s="47" t="n">
        <v>0</v>
      </c>
      <c r="L146" s="2" t="n"/>
      <c r="M146" s="2" t="n"/>
      <c r="N146" s="2" t="n"/>
      <c r="O146" s="2" t="n"/>
    </row>
    <row r="147" ht="15" customHeight="1">
      <c r="A147" s="2" t="n"/>
      <c r="B147" s="40" t="inlineStr">
        <is>
          <t>701E105</t>
        </is>
      </c>
      <c r="C147" s="40" t="inlineStr">
        <is>
          <t>ROLLING GATE ERECTION PLAN (WEST) @ BLDG.1</t>
        </is>
      </c>
      <c r="D147" s="40" t="inlineStr">
        <is>
          <t>Misc Metals</t>
        </is>
      </c>
      <c r="E147" s="41" t="inlineStr">
        <is>
          <t>A</t>
        </is>
      </c>
      <c r="F147" s="43" t="inlineStr">
        <is>
          <t>Released</t>
        </is>
      </c>
      <c r="G147" s="40" t="inlineStr">
        <is>
          <t>Site Misc. Steel</t>
        </is>
      </c>
      <c r="H147" s="53" t="n">
        <v>46112</v>
      </c>
      <c r="I147" s="53" t="n">
        <v>46168</v>
      </c>
      <c r="J147" s="41" t="inlineStr">
        <is>
          <t>No</t>
        </is>
      </c>
      <c r="K147" s="41" t="n">
        <v>0</v>
      </c>
      <c r="L147" s="2" t="n"/>
      <c r="M147" s="2" t="n"/>
      <c r="N147" s="2" t="n"/>
      <c r="O147" s="2" t="n"/>
    </row>
    <row r="148" ht="15" customHeight="1">
      <c r="A148" s="2" t="n"/>
      <c r="B148" s="46" t="inlineStr">
        <is>
          <t>701E106</t>
        </is>
      </c>
      <c r="C148" s="46" t="inlineStr">
        <is>
          <t>ROLLING GATE ERECTION PLAN (EAST) @ BLDG.2</t>
        </is>
      </c>
      <c r="D148" s="46" t="inlineStr">
        <is>
          <t>Misc Metals</t>
        </is>
      </c>
      <c r="E148" s="47" t="inlineStr">
        <is>
          <t>A</t>
        </is>
      </c>
      <c r="F148" s="43" t="inlineStr">
        <is>
          <t>Released</t>
        </is>
      </c>
      <c r="G148" s="46" t="inlineStr">
        <is>
          <t>Site Misc. Steel</t>
        </is>
      </c>
      <c r="H148" s="54" t="n">
        <v>46112</v>
      </c>
      <c r="I148" s="54" t="n">
        <v>46168</v>
      </c>
      <c r="J148" s="47" t="inlineStr">
        <is>
          <t>No</t>
        </is>
      </c>
      <c r="K148" s="47" t="n">
        <v>0</v>
      </c>
      <c r="L148" s="2" t="n"/>
      <c r="M148" s="2" t="n"/>
      <c r="N148" s="2" t="n"/>
      <c r="O148" s="2" t="n"/>
    </row>
    <row r="149" ht="15" customHeight="1">
      <c r="A149" s="2" t="n"/>
      <c r="B149" s="40" t="inlineStr">
        <is>
          <t>701E107</t>
        </is>
      </c>
      <c r="C149" s="40" t="inlineStr">
        <is>
          <t>SECTION &amp; DETAIL</t>
        </is>
      </c>
      <c r="D149" s="40" t="inlineStr">
        <is>
          <t>Misc Metals</t>
        </is>
      </c>
      <c r="E149" s="41" t="inlineStr">
        <is>
          <t>A</t>
        </is>
      </c>
      <c r="F149" s="43" t="inlineStr">
        <is>
          <t>Released</t>
        </is>
      </c>
      <c r="G149" s="40" t="inlineStr">
        <is>
          <t>Site Misc. Steel</t>
        </is>
      </c>
      <c r="H149" s="53" t="n">
        <v>46112</v>
      </c>
      <c r="I149" s="53" t="n">
        <v>46168</v>
      </c>
      <c r="J149" s="41" t="inlineStr">
        <is>
          <t>No</t>
        </is>
      </c>
      <c r="K149" s="41" t="n">
        <v>0</v>
      </c>
      <c r="L149" s="2" t="n"/>
      <c r="M149" s="2" t="n"/>
      <c r="N149" s="2" t="n"/>
      <c r="O149" s="2" t="n"/>
    </row>
    <row r="150" ht="15" customHeight="1">
      <c r="A150" s="2" t="n"/>
      <c r="B150" s="46" t="inlineStr">
        <is>
          <t>701E108</t>
        </is>
      </c>
      <c r="C150" s="46" t="inlineStr">
        <is>
          <t>SITE BOLLARD LAYOUT PLAN @ BUILDING 2</t>
        </is>
      </c>
      <c r="D150" s="46" t="inlineStr">
        <is>
          <t>Misc Metals</t>
        </is>
      </c>
      <c r="E150" s="47" t="inlineStr">
        <is>
          <t>A</t>
        </is>
      </c>
      <c r="F150" s="43" t="inlineStr">
        <is>
          <t>Released</t>
        </is>
      </c>
      <c r="G150" s="46" t="inlineStr">
        <is>
          <t>Site Misc. Steel</t>
        </is>
      </c>
      <c r="H150" s="54" t="n">
        <v>46112</v>
      </c>
      <c r="I150" s="54" t="n">
        <v>46168</v>
      </c>
      <c r="J150" s="47" t="inlineStr">
        <is>
          <t>No</t>
        </is>
      </c>
      <c r="K150" s="47" t="n">
        <v>0</v>
      </c>
      <c r="L150" s="2" t="n"/>
      <c r="M150" s="2" t="n"/>
      <c r="N150" s="2" t="n"/>
      <c r="O150" s="2" t="n"/>
    </row>
    <row r="151" ht="15" customHeight="1">
      <c r="A151" s="2" t="n"/>
      <c r="B151" s="40" t="inlineStr">
        <is>
          <t>701E109</t>
        </is>
      </c>
      <c r="C151" s="40" t="inlineStr">
        <is>
          <t>SCUPPER ERECTION PLAN</t>
        </is>
      </c>
      <c r="D151" s="40" t="inlineStr">
        <is>
          <t>Misc Metals</t>
        </is>
      </c>
      <c r="E151" s="41" t="inlineStr">
        <is>
          <t>A</t>
        </is>
      </c>
      <c r="F151" s="43" t="inlineStr">
        <is>
          <t>Released</t>
        </is>
      </c>
      <c r="G151" s="40" t="inlineStr">
        <is>
          <t>Site Misc. Steel</t>
        </is>
      </c>
      <c r="H151" s="53" t="n">
        <v>46112</v>
      </c>
      <c r="I151" s="53" t="n">
        <v>46168</v>
      </c>
      <c r="J151" s="41" t="inlineStr">
        <is>
          <t>No</t>
        </is>
      </c>
      <c r="K151" s="41" t="n">
        <v>0</v>
      </c>
      <c r="L151" s="2" t="n"/>
      <c r="M151" s="2" t="n"/>
      <c r="N151" s="2" t="n"/>
      <c r="O151" s="2" t="n"/>
    </row>
    <row r="152" ht="15" customHeight="1">
      <c r="A152" s="2" t="n"/>
      <c r="B152" s="46" t="inlineStr">
        <is>
          <t>701E110</t>
        </is>
      </c>
      <c r="C152" s="46" t="inlineStr">
        <is>
          <t>SAFETY ANCHOR POST PLAN @BLDG. 1</t>
        </is>
      </c>
      <c r="D152" s="46" t="inlineStr">
        <is>
          <t>Misc Metals</t>
        </is>
      </c>
      <c r="E152" s="47" t="inlineStr">
        <is>
          <t>A</t>
        </is>
      </c>
      <c r="F152" s="43" t="inlineStr">
        <is>
          <t>Released</t>
        </is>
      </c>
      <c r="G152" s="46" t="inlineStr">
        <is>
          <t>Site Misc. Steel</t>
        </is>
      </c>
      <c r="H152" s="54" t="n">
        <v>46112</v>
      </c>
      <c r="I152" s="54" t="n">
        <v>46168</v>
      </c>
      <c r="J152" s="47" t="inlineStr">
        <is>
          <t>No</t>
        </is>
      </c>
      <c r="K152" s="47" t="n">
        <v>0</v>
      </c>
      <c r="L152" s="2" t="n"/>
      <c r="M152" s="2" t="n"/>
      <c r="N152" s="2" t="n"/>
      <c r="O152" s="2" t="n"/>
    </row>
    <row r="153" ht="15" customHeight="1">
      <c r="A153" s="2" t="n"/>
      <c r="B153" s="40" t="inlineStr">
        <is>
          <t>701E111</t>
        </is>
      </c>
      <c r="C153" s="40" t="inlineStr">
        <is>
          <t>PARTIAL SAFETY ANCHOR POST PLAN @BLDG. 2</t>
        </is>
      </c>
      <c r="D153" s="40" t="inlineStr">
        <is>
          <t>Misc Metals</t>
        </is>
      </c>
      <c r="E153" s="41" t="inlineStr">
        <is>
          <t>A</t>
        </is>
      </c>
      <c r="F153" s="43" t="inlineStr">
        <is>
          <t>Released</t>
        </is>
      </c>
      <c r="G153" s="40" t="inlineStr">
        <is>
          <t>Site Misc. Steel</t>
        </is>
      </c>
      <c r="H153" s="53" t="n">
        <v>46112</v>
      </c>
      <c r="I153" s="53" t="n">
        <v>46168</v>
      </c>
      <c r="J153" s="41" t="inlineStr">
        <is>
          <t>No</t>
        </is>
      </c>
      <c r="K153" s="41" t="n">
        <v>0</v>
      </c>
      <c r="L153" s="2" t="n"/>
      <c r="M153" s="2" t="n"/>
      <c r="N153" s="2" t="n"/>
      <c r="O153" s="2" t="n"/>
    </row>
    <row r="154" ht="15" customHeight="1">
      <c r="A154" s="2" t="n"/>
      <c r="B154" s="46" t="inlineStr">
        <is>
          <t>701E112</t>
        </is>
      </c>
      <c r="C154" s="46" t="inlineStr">
        <is>
          <t>PARTIAL SAFETY ANCHOR POST PLAN @BLDG. 2</t>
        </is>
      </c>
      <c r="D154" s="46" t="inlineStr">
        <is>
          <t>Misc Metals</t>
        </is>
      </c>
      <c r="E154" s="47" t="inlineStr">
        <is>
          <t>A</t>
        </is>
      </c>
      <c r="F154" s="43" t="inlineStr">
        <is>
          <t>Released</t>
        </is>
      </c>
      <c r="G154" s="46" t="inlineStr">
        <is>
          <t>Site Misc. Steel</t>
        </is>
      </c>
      <c r="H154" s="54" t="n">
        <v>46112</v>
      </c>
      <c r="I154" s="54" t="n">
        <v>46168</v>
      </c>
      <c r="J154" s="47" t="inlineStr">
        <is>
          <t>No</t>
        </is>
      </c>
      <c r="K154" s="47" t="n">
        <v>0</v>
      </c>
      <c r="L154" s="2" t="n"/>
      <c r="M154" s="2" t="n"/>
      <c r="N154" s="2" t="n"/>
      <c r="O154" s="2" t="n"/>
    </row>
    <row r="155" ht="15" customHeight="1">
      <c r="A155" s="2" t="n"/>
      <c r="B155" s="40" t="inlineStr">
        <is>
          <t>701E113</t>
        </is>
      </c>
      <c r="C155" s="40" t="inlineStr">
        <is>
          <t>PARTIAL SAFETY ANCHOR POST PLAN @BLDG. 2</t>
        </is>
      </c>
      <c r="D155" s="40" t="inlineStr">
        <is>
          <t>Misc Metals</t>
        </is>
      </c>
      <c r="E155" s="41" t="inlineStr">
        <is>
          <t>A</t>
        </is>
      </c>
      <c r="F155" s="43" t="inlineStr">
        <is>
          <t>Released</t>
        </is>
      </c>
      <c r="G155" s="40" t="inlineStr">
        <is>
          <t>Site Misc. Steel</t>
        </is>
      </c>
      <c r="H155" s="53" t="n">
        <v>46104</v>
      </c>
      <c r="I155" s="53" t="n">
        <v>46153</v>
      </c>
      <c r="J155" s="41" t="inlineStr">
        <is>
          <t>No</t>
        </is>
      </c>
      <c r="K155" s="41" t="n">
        <v>0</v>
      </c>
      <c r="L155" s="2" t="n"/>
      <c r="M155" s="2" t="n"/>
      <c r="N155" s="2" t="n"/>
      <c r="O155" s="2" t="n"/>
    </row>
    <row r="156" ht="15" customHeight="1">
      <c r="A156" s="2" t="n"/>
      <c r="B156" s="46" t="inlineStr">
        <is>
          <t>D1.1</t>
        </is>
      </c>
      <c r="C156" s="46" t="inlineStr">
        <is>
          <t>ROOF DECK PLACEMENT PLAN</t>
        </is>
      </c>
      <c r="D156" s="46" t="inlineStr">
        <is>
          <t>Structural</t>
        </is>
      </c>
      <c r="E156" s="47" t="inlineStr">
        <is>
          <t>1</t>
        </is>
      </c>
      <c r="F156" s="43" t="inlineStr">
        <is>
          <t>Released</t>
        </is>
      </c>
      <c r="G156" s="46" t="inlineStr">
        <is>
          <t>Joists &amp; Deck</t>
        </is>
      </c>
      <c r="H156" s="54" t="n">
        <v>46118</v>
      </c>
      <c r="I156" s="54" t="n">
        <v>46148</v>
      </c>
      <c r="J156" s="47" t="inlineStr">
        <is>
          <t>No</t>
        </is>
      </c>
      <c r="K156" s="47" t="n">
        <v>0</v>
      </c>
      <c r="L156" s="2" t="n"/>
      <c r="M156" s="2" t="n"/>
      <c r="N156" s="2" t="n"/>
      <c r="O156" s="2" t="n"/>
    </row>
    <row r="157" ht="15" customHeight="1">
      <c r="A157" s="2" t="n"/>
      <c r="B157" s="40" t="inlineStr">
        <is>
          <t>D1.2</t>
        </is>
      </c>
      <c r="C157" s="40" t="inlineStr">
        <is>
          <t>LOWER ROOF DECK PLACEMENT PLAN</t>
        </is>
      </c>
      <c r="D157" s="40" t="inlineStr">
        <is>
          <t>Structural</t>
        </is>
      </c>
      <c r="E157" s="41" t="inlineStr">
        <is>
          <t>1</t>
        </is>
      </c>
      <c r="F157" s="43" t="inlineStr">
        <is>
          <t>Released</t>
        </is>
      </c>
      <c r="G157" s="40" t="inlineStr">
        <is>
          <t>Joists &amp; Deck</t>
        </is>
      </c>
      <c r="H157" s="53" t="n">
        <v>46118</v>
      </c>
      <c r="I157" s="53" t="n">
        <v>46148</v>
      </c>
      <c r="J157" s="41" t="inlineStr">
        <is>
          <t>No</t>
        </is>
      </c>
      <c r="K157" s="41" t="n">
        <v>0</v>
      </c>
      <c r="L157" s="2" t="n"/>
      <c r="M157" s="2" t="n"/>
      <c r="N157" s="2" t="n"/>
      <c r="O157" s="2" t="n"/>
    </row>
    <row r="158" ht="15" customHeight="1">
      <c r="A158" s="2" t="n"/>
      <c r="B158" s="46" t="inlineStr">
        <is>
          <t>D1.3</t>
        </is>
      </c>
      <c r="C158" s="46" t="inlineStr">
        <is>
          <t>SECOND FLOOR DECK PLACEMENT PLAN</t>
        </is>
      </c>
      <c r="D158" s="46" t="inlineStr">
        <is>
          <t>Structural</t>
        </is>
      </c>
      <c r="E158" s="47" t="inlineStr">
        <is>
          <t>1</t>
        </is>
      </c>
      <c r="F158" s="43" t="inlineStr">
        <is>
          <t>Released</t>
        </is>
      </c>
      <c r="G158" s="46" t="inlineStr">
        <is>
          <t>Joists &amp; Deck</t>
        </is>
      </c>
      <c r="H158" s="54" t="n">
        <v>46118</v>
      </c>
      <c r="I158" s="54" t="n">
        <v>46148</v>
      </c>
      <c r="J158" s="47" t="inlineStr">
        <is>
          <t>No</t>
        </is>
      </c>
      <c r="K158" s="47" t="n">
        <v>0</v>
      </c>
      <c r="L158" s="2" t="n"/>
      <c r="M158" s="2" t="n"/>
      <c r="N158" s="2" t="n"/>
      <c r="O158" s="2" t="n"/>
    </row>
    <row r="159" ht="15" customHeight="1">
      <c r="A159" s="2" t="n"/>
      <c r="B159" s="40" t="inlineStr">
        <is>
          <t>D1.4</t>
        </is>
      </c>
      <c r="C159" s="40" t="inlineStr">
        <is>
          <t>UPPER ROOF DECK PLACEMENT PLAN</t>
        </is>
      </c>
      <c r="D159" s="40" t="inlineStr">
        <is>
          <t>Structural</t>
        </is>
      </c>
      <c r="E159" s="41" t="inlineStr">
        <is>
          <t>1</t>
        </is>
      </c>
      <c r="F159" s="43" t="inlineStr">
        <is>
          <t>Released</t>
        </is>
      </c>
      <c r="G159" s="40" t="inlineStr">
        <is>
          <t>Joists &amp; Deck</t>
        </is>
      </c>
      <c r="H159" s="53" t="n">
        <v>46118</v>
      </c>
      <c r="I159" s="53" t="n">
        <v>46148</v>
      </c>
      <c r="J159" s="41" t="inlineStr">
        <is>
          <t>No</t>
        </is>
      </c>
      <c r="K159" s="41" t="n">
        <v>0</v>
      </c>
      <c r="L159" s="2" t="n"/>
      <c r="M159" s="2" t="n"/>
      <c r="N159" s="2" t="n"/>
      <c r="O159" s="2" t="n"/>
    </row>
    <row r="160" ht="15" customHeight="1">
      <c r="A160" s="2" t="n"/>
      <c r="B160" s="46" t="inlineStr">
        <is>
          <t>D1.5</t>
        </is>
      </c>
      <c r="C160" s="46" t="inlineStr">
        <is>
          <t>SECOND FLOOR DECK PLACEMENT PLAN (EAST)</t>
        </is>
      </c>
      <c r="D160" s="46" t="inlineStr">
        <is>
          <t>Structural</t>
        </is>
      </c>
      <c r="E160" s="47" t="inlineStr">
        <is>
          <t>1</t>
        </is>
      </c>
      <c r="F160" s="43" t="inlineStr">
        <is>
          <t>Released</t>
        </is>
      </c>
      <c r="G160" s="46" t="inlineStr">
        <is>
          <t>Joists &amp; Deck</t>
        </is>
      </c>
      <c r="H160" s="54" t="n">
        <v>46118</v>
      </c>
      <c r="I160" s="54" t="n">
        <v>46148</v>
      </c>
      <c r="J160" s="47" t="inlineStr">
        <is>
          <t>No</t>
        </is>
      </c>
      <c r="K160" s="47" t="n">
        <v>0</v>
      </c>
      <c r="L160" s="2" t="n"/>
      <c r="M160" s="2" t="n"/>
      <c r="N160" s="2" t="n"/>
      <c r="O160" s="2" t="n"/>
    </row>
    <row r="161" ht="15" customHeight="1">
      <c r="A161" s="2" t="n"/>
      <c r="B161" s="40" t="inlineStr">
        <is>
          <t>D1.6</t>
        </is>
      </c>
      <c r="C161" s="40" t="inlineStr">
        <is>
          <t>STAIRS DECK PLACEMENT PLAN</t>
        </is>
      </c>
      <c r="D161" s="40" t="inlineStr">
        <is>
          <t>Structural</t>
        </is>
      </c>
      <c r="E161" s="41" t="inlineStr">
        <is>
          <t>1</t>
        </is>
      </c>
      <c r="F161" s="43" t="inlineStr">
        <is>
          <t>Released</t>
        </is>
      </c>
      <c r="G161" s="40" t="inlineStr">
        <is>
          <t>Joists &amp; Deck</t>
        </is>
      </c>
      <c r="H161" s="53" t="n">
        <v>46118</v>
      </c>
      <c r="I161" s="53" t="n">
        <v>46148</v>
      </c>
      <c r="J161" s="41" t="inlineStr">
        <is>
          <t>No</t>
        </is>
      </c>
      <c r="K161" s="41" t="n">
        <v>0</v>
      </c>
      <c r="L161" s="2" t="n"/>
      <c r="M161" s="2" t="n"/>
      <c r="N161" s="2" t="n"/>
      <c r="O161" s="2" t="n"/>
    </row>
    <row r="162" ht="15" customHeight="1">
      <c r="A162" s="2" t="n"/>
      <c r="B162" s="46" t="inlineStr">
        <is>
          <t>D1.7</t>
        </is>
      </c>
      <c r="C162" s="46" t="inlineStr">
        <is>
          <t>LOWER ROOF DECK PLACEMENT PLAN (EAST)</t>
        </is>
      </c>
      <c r="D162" s="46" t="inlineStr">
        <is>
          <t>Structural</t>
        </is>
      </c>
      <c r="E162" s="47" t="inlineStr">
        <is>
          <t>1</t>
        </is>
      </c>
      <c r="F162" s="43" t="inlineStr">
        <is>
          <t>Released</t>
        </is>
      </c>
      <c r="G162" s="46" t="inlineStr">
        <is>
          <t>Joists &amp; Deck</t>
        </is>
      </c>
      <c r="H162" s="54" t="n">
        <v>46118</v>
      </c>
      <c r="I162" s="54" t="n">
        <v>46148</v>
      </c>
      <c r="J162" s="47" t="inlineStr">
        <is>
          <t>No</t>
        </is>
      </c>
      <c r="K162" s="47" t="n">
        <v>0</v>
      </c>
      <c r="L162" s="2" t="n"/>
      <c r="M162" s="2" t="n"/>
      <c r="N162" s="2" t="n"/>
      <c r="O162" s="2" t="n"/>
    </row>
    <row r="163" ht="15" customHeight="1">
      <c r="A163" s="2" t="n"/>
      <c r="B163" s="40" t="inlineStr">
        <is>
          <t>J1.1</t>
        </is>
      </c>
      <c r="C163" s="40" t="inlineStr">
        <is>
          <t>ROOF JOIST PLACEMENT PLAN</t>
        </is>
      </c>
      <c r="D163" s="40" t="inlineStr">
        <is>
          <t>Structural</t>
        </is>
      </c>
      <c r="E163" s="41" t="inlineStr">
        <is>
          <t>1</t>
        </is>
      </c>
      <c r="F163" s="43" t="inlineStr">
        <is>
          <t>Released</t>
        </is>
      </c>
      <c r="G163" s="40" t="inlineStr">
        <is>
          <t>Joists &amp; Deck</t>
        </is>
      </c>
      <c r="H163" s="53" t="n">
        <v>46118</v>
      </c>
      <c r="I163" s="53" t="n">
        <v>46148</v>
      </c>
      <c r="J163" s="41" t="inlineStr">
        <is>
          <t>No</t>
        </is>
      </c>
      <c r="K163" s="41" t="n">
        <v>0</v>
      </c>
      <c r="L163" s="2" t="n"/>
      <c r="M163" s="2" t="n"/>
      <c r="N163" s="2" t="n"/>
      <c r="O163" s="2" t="n"/>
    </row>
    <row r="164" ht="15" customHeight="1">
      <c r="A164" s="2" t="n"/>
      <c r="B164" s="46" t="inlineStr">
        <is>
          <t>J1.2</t>
        </is>
      </c>
      <c r="C164" s="46" t="inlineStr">
        <is>
          <t>LOWER ROOF JOIST PLACEMENT PLAN</t>
        </is>
      </c>
      <c r="D164" s="46" t="inlineStr">
        <is>
          <t>Structural</t>
        </is>
      </c>
      <c r="E164" s="47" t="inlineStr">
        <is>
          <t>1</t>
        </is>
      </c>
      <c r="F164" s="43" t="inlineStr">
        <is>
          <t>Released</t>
        </is>
      </c>
      <c r="G164" s="46" t="inlineStr">
        <is>
          <t>Joists &amp; Deck</t>
        </is>
      </c>
      <c r="H164" s="54" t="n">
        <v>46118</v>
      </c>
      <c r="I164" s="54" t="n">
        <v>46148</v>
      </c>
      <c r="J164" s="47" t="inlineStr">
        <is>
          <t>No</t>
        </is>
      </c>
      <c r="K164" s="47" t="n">
        <v>0</v>
      </c>
      <c r="L164" s="2" t="n"/>
      <c r="M164" s="2" t="n"/>
      <c r="N164" s="2" t="n"/>
      <c r="O164" s="2" t="n"/>
    </row>
    <row r="165" ht="15" customHeight="1">
      <c r="A165" s="2" t="n"/>
      <c r="B165" s="40" t="inlineStr">
        <is>
          <t>J1.3</t>
        </is>
      </c>
      <c r="C165" s="40" t="inlineStr">
        <is>
          <t>SECOND FLOOR JOIST PLACEMENT PLAN</t>
        </is>
      </c>
      <c r="D165" s="40" t="inlineStr">
        <is>
          <t>Structural</t>
        </is>
      </c>
      <c r="E165" s="41" t="inlineStr">
        <is>
          <t>1</t>
        </is>
      </c>
      <c r="F165" s="43" t="inlineStr">
        <is>
          <t>Released</t>
        </is>
      </c>
      <c r="G165" s="40" t="inlineStr">
        <is>
          <t>Joists &amp; Deck</t>
        </is>
      </c>
      <c r="H165" s="53" t="n">
        <v>46118</v>
      </c>
      <c r="I165" s="53" t="n">
        <v>46148</v>
      </c>
      <c r="J165" s="41" t="inlineStr">
        <is>
          <t>No</t>
        </is>
      </c>
      <c r="K165" s="41" t="n">
        <v>0</v>
      </c>
      <c r="L165" s="2" t="n"/>
      <c r="M165" s="2" t="n"/>
      <c r="N165" s="2" t="n"/>
      <c r="O165" s="2" t="n"/>
    </row>
    <row r="166" ht="15" customHeight="1">
      <c r="A166" s="2" t="n"/>
      <c r="B166" s="46" t="inlineStr">
        <is>
          <t>J1.4</t>
        </is>
      </c>
      <c r="C166" s="46" t="inlineStr">
        <is>
          <t>UPPER ROOF JOIST PLACEMENT PLAN</t>
        </is>
      </c>
      <c r="D166" s="46" t="inlineStr">
        <is>
          <t>Structural</t>
        </is>
      </c>
      <c r="E166" s="47" t="inlineStr">
        <is>
          <t>1</t>
        </is>
      </c>
      <c r="F166" s="43" t="inlineStr">
        <is>
          <t>Released</t>
        </is>
      </c>
      <c r="G166" s="46" t="inlineStr">
        <is>
          <t>Joists &amp; Deck</t>
        </is>
      </c>
      <c r="H166" s="54" t="n">
        <v>46118</v>
      </c>
      <c r="I166" s="54" t="n">
        <v>46148</v>
      </c>
      <c r="J166" s="47" t="inlineStr">
        <is>
          <t>No</t>
        </is>
      </c>
      <c r="K166" s="47" t="n">
        <v>0</v>
      </c>
      <c r="L166" s="2" t="n"/>
      <c r="M166" s="2" t="n"/>
      <c r="N166" s="2" t="n"/>
      <c r="O166" s="2" t="n"/>
    </row>
    <row r="167" ht="15" customHeight="1">
      <c r="A167" s="2" t="n"/>
      <c r="B167" s="40" t="inlineStr">
        <is>
          <t>J1.5</t>
        </is>
      </c>
      <c r="C167" s="40" t="inlineStr">
        <is>
          <t>SECOND FLOOR JOIST PLACEMENT PLAN (EAST)</t>
        </is>
      </c>
      <c r="D167" s="40" t="inlineStr">
        <is>
          <t>Structural</t>
        </is>
      </c>
      <c r="E167" s="41" t="inlineStr">
        <is>
          <t>1</t>
        </is>
      </c>
      <c r="F167" s="43" t="inlineStr">
        <is>
          <t>Released</t>
        </is>
      </c>
      <c r="G167" s="40" t="inlineStr">
        <is>
          <t>Joists &amp; Deck</t>
        </is>
      </c>
      <c r="H167" s="53" t="n">
        <v>46118</v>
      </c>
      <c r="I167" s="53" t="n">
        <v>46148</v>
      </c>
      <c r="J167" s="41" t="inlineStr">
        <is>
          <t>No</t>
        </is>
      </c>
      <c r="K167" s="41" t="n">
        <v>0</v>
      </c>
      <c r="L167" s="2" t="n"/>
      <c r="M167" s="2" t="n"/>
      <c r="N167" s="2" t="n"/>
      <c r="O167" s="2" t="n"/>
    </row>
    <row r="168" ht="15" customHeight="1">
      <c r="A168" s="2" t="n"/>
      <c r="B168" s="46" t="inlineStr">
        <is>
          <t>J1.6</t>
        </is>
      </c>
      <c r="C168" s="46" t="inlineStr">
        <is>
          <t>LOWER ROOF JOIST PLACEMENT PLAN (EAST)</t>
        </is>
      </c>
      <c r="D168" s="46" t="inlineStr">
        <is>
          <t>Structural</t>
        </is>
      </c>
      <c r="E168" s="47" t="inlineStr">
        <is>
          <t>1</t>
        </is>
      </c>
      <c r="F168" s="43" t="inlineStr">
        <is>
          <t>Released</t>
        </is>
      </c>
      <c r="G168" s="46" t="inlineStr">
        <is>
          <t>Joists &amp; Deck</t>
        </is>
      </c>
      <c r="H168" s="54" t="n">
        <v>46118</v>
      </c>
      <c r="I168" s="54" t="n">
        <v>46148</v>
      </c>
      <c r="J168" s="47" t="inlineStr">
        <is>
          <t>No</t>
        </is>
      </c>
      <c r="K168" s="47" t="n">
        <v>0</v>
      </c>
      <c r="L168" s="2" t="n"/>
      <c r="M168" s="2" t="n"/>
      <c r="N168" s="2" t="n"/>
      <c r="O168" s="2" t="n"/>
    </row>
    <row r="169">
      <c r="A169" s="2" t="n"/>
      <c r="B169" s="2" t="n"/>
      <c r="C169" s="2" t="n"/>
      <c r="D169" s="2" t="n"/>
      <c r="E169" s="2" t="n"/>
      <c r="F169" s="2" t="n"/>
      <c r="G169" s="2" t="n"/>
      <c r="H169" s="2" t="n"/>
      <c r="I169" s="2" t="n"/>
      <c r="J169" s="2" t="n"/>
      <c r="K169" s="2" t="n"/>
      <c r="L169" s="2" t="n"/>
      <c r="M169" s="2" t="n"/>
      <c r="N169" s="2" t="n"/>
      <c r="O169" s="2" t="n"/>
    </row>
    <row r="170">
      <c r="A170" s="2" t="n"/>
      <c r="B170" s="2" t="n"/>
      <c r="C170" s="2" t="n"/>
      <c r="D170" s="2" t="n"/>
      <c r="E170" s="2" t="n"/>
      <c r="F170" s="2" t="n"/>
      <c r="G170" s="2" t="n"/>
      <c r="H170" s="2" t="n"/>
      <c r="I170" s="2" t="n"/>
      <c r="J170" s="2" t="n"/>
      <c r="K170" s="2" t="n"/>
      <c r="L170" s="2" t="n"/>
      <c r="M170" s="2" t="n"/>
      <c r="N170" s="2" t="n"/>
      <c r="O170" s="2" t="n"/>
    </row>
    <row r="171">
      <c r="A171" s="2" t="n"/>
      <c r="B171" s="2" t="n"/>
      <c r="C171" s="2" t="n"/>
      <c r="D171" s="2" t="n"/>
      <c r="E171" s="2" t="n"/>
      <c r="F171" s="2" t="n"/>
      <c r="G171" s="2" t="n"/>
      <c r="H171" s="2" t="n"/>
      <c r="I171" s="2" t="n"/>
      <c r="J171" s="2" t="n"/>
      <c r="K171" s="2" t="n"/>
      <c r="L171" s="2" t="n"/>
      <c r="M171" s="2" t="n"/>
      <c r="N171" s="2" t="n"/>
      <c r="O171" s="2" t="n"/>
    </row>
    <row r="172">
      <c r="A172" s="2" t="n"/>
      <c r="B172" s="2" t="n"/>
      <c r="C172" s="2" t="n"/>
      <c r="D172" s="2" t="n"/>
      <c r="E172" s="2" t="n"/>
      <c r="F172" s="2" t="n"/>
      <c r="G172" s="2" t="n"/>
      <c r="H172" s="2" t="n"/>
      <c r="I172" s="2" t="n"/>
      <c r="J172" s="2" t="n"/>
      <c r="K172" s="2" t="n"/>
      <c r="L172" s="2" t="n"/>
      <c r="M172" s="2" t="n"/>
      <c r="N172" s="2" t="n"/>
      <c r="O172" s="2" t="n"/>
    </row>
  </sheetData>
  <autoFilter ref="B6:K168"/>
  <mergeCells count="4">
    <mergeCell ref="B3:M3"/>
    <mergeCell ref="A1:O1"/>
    <mergeCell ref="B2:M2"/>
    <mergeCell ref="B4:M4"/>
  </mergeCells>
  <pageMargins left="0.75" right="0.75" top="1" bottom="1" header="0.5" footer="0.5"/>
</worksheet>
</file>

<file path=xl/worksheets/sheet6.xml><?xml version="1.0" encoding="utf-8"?>
<worksheet xmlns="http://schemas.openxmlformats.org/spreadsheetml/2006/main">
  <sheetPr>
    <tabColor rgb="001F2937"/>
    <outlinePr summaryBelow="1" summaryRight="1"/>
    <pageSetUpPr/>
  </sheetPr>
  <dimension ref="A1:P26"/>
  <sheetViews>
    <sheetView showGridLines="0" workbookViewId="0">
      <pane xSplit="1" ySplit="9" topLeftCell="B10" activePane="bottomRight" state="frozen"/>
      <selection pane="topRight"/>
      <selection pane="bottomLeft"/>
      <selection pane="bottomRight" activeCell="A1" sqref="A1"/>
    </sheetView>
  </sheetViews>
  <sheetFormatPr baseColWidth="8" defaultRowHeight="15"/>
  <cols>
    <col width="2.4" customWidth="1" min="1" max="1"/>
    <col width="9" customWidth="1" min="2" max="2"/>
    <col width="26" customWidth="1" min="3" max="3"/>
    <col width="10" customWidth="1" min="4" max="4"/>
    <col width="13" customWidth="1" min="5" max="5"/>
    <col width="6" customWidth="1" min="6" max="6"/>
    <col width="6" customWidth="1" min="7" max="7"/>
    <col width="20" customWidth="1" min="8" max="8"/>
    <col width="12" customWidth="1" min="9" max="9"/>
    <col width="18" customWidth="1" min="10" max="10"/>
    <col width="11" customWidth="1" min="11" max="11"/>
    <col width="11" customWidth="1" min="12" max="12"/>
    <col width="11" customWidth="1" min="13" max="13"/>
    <col width="2.4" customWidth="1" min="15" max="15"/>
    <col width="2.4" customWidth="1" min="16" max="16"/>
  </cols>
  <sheetData>
    <row r="1">
      <c r="A1" s="1" t="n"/>
      <c r="B1" s="2" t="n"/>
      <c r="C1" s="2" t="n"/>
      <c r="D1" s="2" t="n"/>
      <c r="E1" s="2" t="n"/>
      <c r="F1" s="2" t="n"/>
      <c r="G1" s="2" t="n"/>
      <c r="H1" s="2" t="n"/>
      <c r="I1" s="2" t="n"/>
      <c r="J1" s="2" t="n"/>
      <c r="K1" s="2" t="n"/>
      <c r="L1" s="2" t="n"/>
      <c r="M1" s="2" t="n"/>
      <c r="N1" s="2" t="n"/>
      <c r="O1" s="2" t="n"/>
      <c r="P1" s="2" t="n"/>
    </row>
    <row r="2" ht="30" customHeight="1">
      <c r="A2" s="2" t="n"/>
      <c r="B2" s="22" t="inlineStr">
        <is>
          <t>Submittals</t>
        </is>
      </c>
      <c r="C2" s="2" t="n"/>
      <c r="D2" s="2" t="n"/>
      <c r="E2" s="2" t="n"/>
      <c r="F2" s="2" t="n"/>
      <c r="G2" s="2" t="n"/>
      <c r="H2" s="2" t="n"/>
      <c r="I2" s="2" t="n"/>
      <c r="J2" s="2" t="n"/>
      <c r="K2" s="2" t="n"/>
      <c r="L2" s="2" t="n"/>
      <c r="M2" s="2" t="n"/>
      <c r="N2" s="2" t="n"/>
      <c r="O2" s="2" t="n"/>
      <c r="P2" s="2" t="n"/>
    </row>
    <row r="3" ht="18" customHeight="1">
      <c r="A3" s="2" t="n"/>
      <c r="B3" s="23" t="inlineStr">
        <is>
          <t>Shop-drawing workflow — Not Started → IFA → OFA → BFA → OFS → IFC → Released for Fab</t>
        </is>
      </c>
      <c r="C3" s="2" t="n"/>
      <c r="D3" s="2" t="n"/>
      <c r="E3" s="2" t="n"/>
      <c r="F3" s="2" t="n"/>
      <c r="G3" s="2" t="n"/>
      <c r="H3" s="2" t="n"/>
      <c r="I3" s="2" t="n"/>
      <c r="J3" s="2" t="n"/>
      <c r="K3" s="2" t="n"/>
      <c r="L3" s="2" t="n"/>
      <c r="M3" s="2" t="n"/>
      <c r="N3" s="2" t="n"/>
      <c r="O3" s="2" t="n"/>
      <c r="P3" s="2" t="n"/>
    </row>
    <row r="4" ht="3" customHeight="1">
      <c r="A4" s="2" t="n"/>
      <c r="B4" s="5" t="n"/>
      <c r="C4" s="2" t="n"/>
      <c r="D4" s="2" t="n"/>
      <c r="E4" s="2" t="n"/>
      <c r="F4" s="2" t="n"/>
      <c r="G4" s="2" t="n"/>
      <c r="H4" s="2" t="n"/>
      <c r="I4" s="2" t="n"/>
      <c r="J4" s="2" t="n"/>
      <c r="K4" s="2" t="n"/>
      <c r="L4" s="2" t="n"/>
      <c r="M4" s="2" t="n"/>
      <c r="N4" s="2" t="n"/>
      <c r="O4" s="2" t="n"/>
      <c r="P4" s="2" t="n"/>
    </row>
    <row r="5">
      <c r="A5" s="2" t="n"/>
      <c r="B5" s="2" t="n"/>
      <c r="C5" s="2" t="n"/>
      <c r="D5" s="2" t="n"/>
      <c r="E5" s="2" t="n"/>
      <c r="F5" s="2" t="n"/>
      <c r="G5" s="2" t="n"/>
      <c r="H5" s="2" t="n"/>
      <c r="I5" s="2" t="n"/>
      <c r="J5" s="2" t="n"/>
      <c r="K5" s="2" t="n"/>
      <c r="L5" s="2" t="n"/>
      <c r="M5" s="2" t="n"/>
      <c r="N5" s="2" t="n"/>
      <c r="O5" s="2" t="n"/>
      <c r="P5" s="2" t="n"/>
    </row>
    <row r="6" ht="18" customHeight="1">
      <c r="A6" s="2" t="n"/>
      <c r="B6" s="56" t="inlineStr">
        <is>
          <t xml:space="preserve">  STAGE LEGEND</t>
        </is>
      </c>
      <c r="C6" s="2" t="n"/>
      <c r="D6" s="2" t="n"/>
      <c r="E6" s="2" t="n"/>
      <c r="F6" s="2" t="n"/>
      <c r="G6" s="2" t="n"/>
      <c r="H6" s="2" t="n"/>
      <c r="I6" s="2" t="n"/>
      <c r="J6" s="2" t="n"/>
      <c r="K6" s="2" t="n"/>
      <c r="L6" s="2" t="n"/>
      <c r="M6" s="2" t="n"/>
      <c r="N6" s="2" t="n"/>
      <c r="O6" s="2" t="n"/>
      <c r="P6" s="2" t="n"/>
    </row>
    <row r="7" ht="16" customHeight="1">
      <c r="A7" s="2" t="n"/>
      <c r="B7" s="57" t="inlineStr">
        <is>
          <t>IFA</t>
        </is>
      </c>
      <c r="C7" s="58" t="inlineStr">
        <is>
          <t>In For Approval</t>
        </is>
      </c>
      <c r="D7" s="57" t="inlineStr">
        <is>
          <t>OFA</t>
        </is>
      </c>
      <c r="E7" s="58" t="inlineStr">
        <is>
          <t>Out For Approval</t>
        </is>
      </c>
      <c r="F7" s="57" t="inlineStr">
        <is>
          <t>BFA</t>
        </is>
      </c>
      <c r="G7" s="58" t="inlineStr">
        <is>
          <t>Back From Approval</t>
        </is>
      </c>
      <c r="H7" s="57" t="inlineStr">
        <is>
          <t>OFS</t>
        </is>
      </c>
      <c r="I7" s="58" t="inlineStr">
        <is>
          <t>Out For Scrub</t>
        </is>
      </c>
      <c r="J7" s="57" t="inlineStr">
        <is>
          <t>IFC</t>
        </is>
      </c>
      <c r="K7" s="58" t="inlineStr">
        <is>
          <t>Issued For Construction</t>
        </is>
      </c>
      <c r="L7" s="57" t="inlineStr">
        <is>
          <t>R&amp;R</t>
        </is>
      </c>
      <c r="M7" s="58" t="inlineStr">
        <is>
          <t>Revise &amp; Resubmit</t>
        </is>
      </c>
      <c r="N7" s="57" t="inlineStr">
        <is>
          <t>RFF</t>
        </is>
      </c>
      <c r="O7" s="58" t="inlineStr">
        <is>
          <t>Released for Fabrication</t>
        </is>
      </c>
      <c r="P7" s="2" t="n"/>
    </row>
    <row r="8">
      <c r="A8" s="2" t="n"/>
      <c r="B8" s="2" t="n"/>
      <c r="C8" s="2" t="n"/>
      <c r="D8" s="2" t="n"/>
      <c r="E8" s="2" t="n"/>
      <c r="F8" s="2" t="n"/>
      <c r="G8" s="2" t="n"/>
      <c r="H8" s="2" t="n"/>
      <c r="I8" s="2" t="n"/>
      <c r="J8" s="2" t="n"/>
      <c r="K8" s="2" t="n"/>
      <c r="L8" s="2" t="n"/>
      <c r="M8" s="2" t="n"/>
      <c r="N8" s="2" t="n"/>
      <c r="O8" s="2" t="n"/>
      <c r="P8" s="2" t="n"/>
    </row>
    <row r="9" ht="26" customHeight="1">
      <c r="A9" s="2" t="n"/>
      <c r="B9" s="38" t="inlineStr">
        <is>
          <t>Sub #</t>
        </is>
      </c>
      <c r="C9" s="38" t="inlineStr">
        <is>
          <t>Title</t>
        </is>
      </c>
      <c r="D9" s="39" t="inlineStr">
        <is>
          <t>Spec</t>
        </is>
      </c>
      <c r="E9" s="38" t="inlineStr">
        <is>
          <t>Discipline</t>
        </is>
      </c>
      <c r="F9" s="39" t="inlineStr">
        <is>
          <t>Rev</t>
        </is>
      </c>
      <c r="G9" s="39" t="inlineStr">
        <is>
          <t>Rnd</t>
        </is>
      </c>
      <c r="H9" s="38" t="inlineStr">
        <is>
          <t>Status</t>
        </is>
      </c>
      <c r="I9" s="39" t="inlineStr">
        <is>
          <t>Ball in Court</t>
        </is>
      </c>
      <c r="J9" s="38" t="inlineStr">
        <is>
          <t>Reviewer</t>
        </is>
      </c>
      <c r="K9" s="39" t="inlineStr">
        <is>
          <t>Submitted</t>
        </is>
      </c>
      <c r="L9" s="39" t="inlineStr">
        <is>
          <t>Required</t>
        </is>
      </c>
      <c r="M9" s="39" t="inlineStr">
        <is>
          <t>Returned</t>
        </is>
      </c>
      <c r="N9" s="2" t="n"/>
      <c r="O9" s="2" t="n"/>
      <c r="P9" s="2" t="n"/>
    </row>
    <row r="10" ht="15" customHeight="1">
      <c r="A10" s="2" t="n"/>
      <c r="B10" s="40" t="inlineStr">
        <is>
          <t>S-004</t>
        </is>
      </c>
      <c r="C10" s="40" t="inlineStr">
        <is>
          <t>Stairs - Bldg. 1</t>
        </is>
      </c>
      <c r="D10" s="41" t="inlineStr">
        <is>
          <t>05 12 00</t>
        </is>
      </c>
      <c r="E10" s="40" t="inlineStr">
        <is>
          <t>Stairs &amp; Rails</t>
        </is>
      </c>
      <c r="F10" s="41" t="inlineStr">
        <is>
          <t>A</t>
        </is>
      </c>
      <c r="G10" s="42" t="n">
        <v>1</v>
      </c>
      <c r="H10" s="45" t="inlineStr">
        <is>
          <t>Approved as Noted</t>
        </is>
      </c>
      <c r="I10" s="41" t="inlineStr">
        <is>
          <t>Detailer</t>
        </is>
      </c>
      <c r="J10" s="40" t="inlineStr">
        <is>
          <t>LGE</t>
        </is>
      </c>
      <c r="K10" s="53" t="n">
        <v>46104</v>
      </c>
      <c r="L10" s="53" t="n">
        <v>46167</v>
      </c>
      <c r="M10" s="53" t="n">
        <v>46153</v>
      </c>
      <c r="N10" s="2" t="n"/>
      <c r="O10" s="2" t="n"/>
      <c r="P10" s="2" t="n"/>
    </row>
    <row r="11" ht="15" customHeight="1">
      <c r="A11" s="2" t="n"/>
      <c r="B11" s="46" t="inlineStr">
        <is>
          <t>S-002</t>
        </is>
      </c>
      <c r="C11" s="46" t="inlineStr">
        <is>
          <t>Site Misc. Steel - Bldg. 1 &amp; 2</t>
        </is>
      </c>
      <c r="D11" s="47" t="inlineStr">
        <is>
          <t>05 12 00</t>
        </is>
      </c>
      <c r="E11" s="46" t="inlineStr">
        <is>
          <t>Misc Metals</t>
        </is>
      </c>
      <c r="F11" s="47" t="inlineStr">
        <is>
          <t>1</t>
        </is>
      </c>
      <c r="G11" s="48" t="n">
        <v>1</v>
      </c>
      <c r="H11" s="45" t="inlineStr">
        <is>
          <t>Approved as Noted</t>
        </is>
      </c>
      <c r="I11" s="47" t="inlineStr">
        <is>
          <t>Detailer</t>
        </is>
      </c>
      <c r="J11" s="46" t="inlineStr">
        <is>
          <t>Khran / Ware-Malcomb</t>
        </is>
      </c>
      <c r="K11" s="54" t="n">
        <v>46112</v>
      </c>
      <c r="L11" s="54" t="n">
        <v>46125</v>
      </c>
      <c r="M11" s="47" t="inlineStr"/>
      <c r="N11" s="2" t="n"/>
      <c r="O11" s="2" t="n"/>
      <c r="P11" s="2" t="n"/>
    </row>
    <row r="12" ht="15" customHeight="1">
      <c r="A12" s="2" t="n"/>
      <c r="B12" s="40" t="inlineStr">
        <is>
          <t>S-005</t>
        </is>
      </c>
      <c r="C12" s="40" t="inlineStr">
        <is>
          <t>Stairs - Bldg. 2</t>
        </is>
      </c>
      <c r="D12" s="41" t="inlineStr"/>
      <c r="E12" s="40" t="inlineStr">
        <is>
          <t>Stairs &amp; Rails</t>
        </is>
      </c>
      <c r="F12" s="41" t="inlineStr">
        <is>
          <t>1</t>
        </is>
      </c>
      <c r="G12" s="42" t="n">
        <v>1</v>
      </c>
      <c r="H12" s="45" t="inlineStr">
        <is>
          <t>Approved as Noted</t>
        </is>
      </c>
      <c r="I12" s="41" t="inlineStr">
        <is>
          <t>Detailer</t>
        </is>
      </c>
      <c r="J12" s="40" t="inlineStr"/>
      <c r="K12" s="53" t="n">
        <v>46120</v>
      </c>
      <c r="L12" s="53" t="n">
        <v>46134</v>
      </c>
      <c r="M12" s="41" t="inlineStr"/>
      <c r="N12" s="2" t="n"/>
      <c r="O12" s="2" t="n"/>
      <c r="P12" s="2" t="n"/>
    </row>
    <row r="13" ht="15" customHeight="1">
      <c r="A13" s="2" t="n"/>
      <c r="B13" s="46" t="inlineStr">
        <is>
          <t>S-003</t>
        </is>
      </c>
      <c r="C13" s="46" t="inlineStr">
        <is>
          <t>Ladders - Bldg. 1 &amp; 2</t>
        </is>
      </c>
      <c r="D13" s="47" t="inlineStr">
        <is>
          <t>05 12 00</t>
        </is>
      </c>
      <c r="E13" s="46" t="inlineStr">
        <is>
          <t>Stairs &amp; Rails</t>
        </is>
      </c>
      <c r="F13" s="47" t="inlineStr">
        <is>
          <t>A</t>
        </is>
      </c>
      <c r="G13" s="48" t="n">
        <v>1</v>
      </c>
      <c r="H13" s="51" t="inlineStr">
        <is>
          <t>Submitted</t>
        </is>
      </c>
      <c r="I13" s="47" t="inlineStr">
        <is>
          <t>EOR</t>
        </is>
      </c>
      <c r="J13" s="46" t="inlineStr">
        <is>
          <t>Khran / Ware-Malcomb</t>
        </is>
      </c>
      <c r="K13" s="54" t="n">
        <v>46120</v>
      </c>
      <c r="L13" s="54" t="n">
        <v>46134</v>
      </c>
      <c r="M13" s="47" t="inlineStr"/>
      <c r="N13" s="2" t="n"/>
      <c r="O13" s="2" t="n"/>
      <c r="P13" s="2" t="n"/>
    </row>
    <row r="14" ht="15" customHeight="1">
      <c r="A14" s="2" t="n"/>
      <c r="B14" s="40" t="inlineStr">
        <is>
          <t>S-011</t>
        </is>
      </c>
      <c r="C14" s="40" t="inlineStr">
        <is>
          <t>Balcony Railing - Bldg. 1</t>
        </is>
      </c>
      <c r="D14" s="41" t="inlineStr">
        <is>
          <t>05 12 00</t>
        </is>
      </c>
      <c r="E14" s="40" t="inlineStr">
        <is>
          <t>Stairs &amp; Rails</t>
        </is>
      </c>
      <c r="F14" s="41" t="inlineStr">
        <is>
          <t>1</t>
        </is>
      </c>
      <c r="G14" s="42" t="n">
        <v>1</v>
      </c>
      <c r="H14" s="45" t="inlineStr">
        <is>
          <t>Approved as Noted</t>
        </is>
      </c>
      <c r="I14" s="41" t="inlineStr">
        <is>
          <t>Detailer</t>
        </is>
      </c>
      <c r="J14" s="40" t="inlineStr"/>
      <c r="K14" s="53" t="n">
        <v>46183</v>
      </c>
      <c r="L14" s="53" t="n">
        <v>46197</v>
      </c>
      <c r="M14" s="41" t="inlineStr"/>
      <c r="N14" s="2" t="n"/>
      <c r="O14" s="2" t="n"/>
      <c r="P14" s="2" t="n"/>
    </row>
    <row r="15" ht="15" customHeight="1">
      <c r="A15" s="2" t="n"/>
      <c r="B15" s="46" t="inlineStr">
        <is>
          <t>S-001</t>
        </is>
      </c>
      <c r="C15" s="46" t="inlineStr">
        <is>
          <t>Balcony Railing - Bldg. 2</t>
        </is>
      </c>
      <c r="D15" s="47" t="inlineStr">
        <is>
          <t>05 12 00</t>
        </is>
      </c>
      <c r="E15" s="46" t="inlineStr">
        <is>
          <t>Stairs &amp; Rails</t>
        </is>
      </c>
      <c r="F15" s="47" t="inlineStr">
        <is>
          <t>1</t>
        </is>
      </c>
      <c r="G15" s="48" t="n">
        <v>1</v>
      </c>
      <c r="H15" s="45" t="inlineStr">
        <is>
          <t>Approved as Noted</t>
        </is>
      </c>
      <c r="I15" s="47" t="inlineStr">
        <is>
          <t>Detailer</t>
        </is>
      </c>
      <c r="J15" s="46" t="inlineStr">
        <is>
          <t>Khran / Ware-Malcomb</t>
        </is>
      </c>
      <c r="K15" s="54" t="n">
        <v>46184</v>
      </c>
      <c r="L15" s="54" t="n">
        <v>46197</v>
      </c>
      <c r="M15" s="47" t="inlineStr"/>
      <c r="N15" s="2" t="n"/>
      <c r="O15" s="2" t="n"/>
      <c r="P15" s="2" t="n"/>
    </row>
    <row r="16" ht="15" customHeight="1">
      <c r="A16" s="2" t="n"/>
      <c r="B16" s="40" t="inlineStr">
        <is>
          <t>S-012</t>
        </is>
      </c>
      <c r="C16" s="40" t="inlineStr">
        <is>
          <t>Joists/Deck</t>
        </is>
      </c>
      <c r="D16" s="41" t="inlineStr">
        <is>
          <t>05 12 00</t>
        </is>
      </c>
      <c r="E16" s="40" t="inlineStr">
        <is>
          <t>Structural</t>
        </is>
      </c>
      <c r="F16" s="41" t="inlineStr">
        <is>
          <t>1</t>
        </is>
      </c>
      <c r="G16" s="42" t="n">
        <v>2</v>
      </c>
      <c r="H16" s="43" t="inlineStr">
        <is>
          <t>Released for Fabrication</t>
        </is>
      </c>
      <c r="I16" s="41" t="inlineStr">
        <is>
          <t>Owner</t>
        </is>
      </c>
      <c r="J16" s="40" t="inlineStr">
        <is>
          <t>Khran / Ware-Malcomb</t>
        </is>
      </c>
      <c r="K16" s="53" t="n">
        <v>46184</v>
      </c>
      <c r="L16" s="53" t="n">
        <v>46192</v>
      </c>
      <c r="M16" s="53" t="n">
        <v>46191</v>
      </c>
      <c r="N16" s="2" t="n"/>
      <c r="O16" s="2" t="n"/>
      <c r="P16" s="2" t="n"/>
    </row>
    <row r="17" ht="15" customHeight="1">
      <c r="A17" s="2" t="n"/>
      <c r="B17" s="46" t="inlineStr">
        <is>
          <t>S-009</t>
        </is>
      </c>
      <c r="C17" s="46" t="inlineStr">
        <is>
          <t>Main Steel - Bldg. 2</t>
        </is>
      </c>
      <c r="D17" s="47" t="inlineStr">
        <is>
          <t>05 12 00</t>
        </is>
      </c>
      <c r="E17" s="46" t="inlineStr">
        <is>
          <t>Structural</t>
        </is>
      </c>
      <c r="F17" s="47" t="inlineStr">
        <is>
          <t>1</t>
        </is>
      </c>
      <c r="G17" s="48" t="n">
        <v>1</v>
      </c>
      <c r="H17" s="43" t="inlineStr">
        <is>
          <t>Released for Fabrication</t>
        </is>
      </c>
      <c r="I17" s="47" t="inlineStr">
        <is>
          <t>Detailer</t>
        </is>
      </c>
      <c r="J17" s="46" t="inlineStr">
        <is>
          <t>Khran / Ware-Malcomb</t>
        </is>
      </c>
      <c r="K17" s="54" t="n">
        <v>46186</v>
      </c>
      <c r="L17" s="47" t="inlineStr"/>
      <c r="M17" s="47" t="inlineStr"/>
      <c r="N17" s="2" t="n"/>
      <c r="O17" s="2" t="n"/>
      <c r="P17" s="2" t="n"/>
    </row>
    <row r="18" ht="15" customHeight="1">
      <c r="A18" s="2" t="n"/>
      <c r="B18" s="40" t="inlineStr">
        <is>
          <t>S-007</t>
        </is>
      </c>
      <c r="C18" s="40" t="inlineStr">
        <is>
          <t>Panel Embeds - Bldg. 1</t>
        </is>
      </c>
      <c r="D18" s="41" t="inlineStr"/>
      <c r="E18" s="40" t="inlineStr">
        <is>
          <t>Embeds</t>
        </is>
      </c>
      <c r="F18" s="41" t="inlineStr">
        <is>
          <t>1</t>
        </is>
      </c>
      <c r="G18" s="42" t="n">
        <v>1</v>
      </c>
      <c r="H18" s="43" t="inlineStr">
        <is>
          <t>Released for Fabrication</t>
        </is>
      </c>
      <c r="I18" s="41" t="inlineStr"/>
      <c r="J18" s="40" t="inlineStr"/>
      <c r="K18" s="53" t="n">
        <v>46186</v>
      </c>
      <c r="L18" s="41" t="inlineStr"/>
      <c r="M18" s="41" t="inlineStr"/>
      <c r="N18" s="2" t="n"/>
      <c r="O18" s="2" t="n"/>
      <c r="P18" s="2" t="n"/>
    </row>
    <row r="19" ht="15" customHeight="1">
      <c r="A19" s="2" t="n"/>
      <c r="B19" s="46" t="inlineStr">
        <is>
          <t>S-008</t>
        </is>
      </c>
      <c r="C19" s="46" t="inlineStr">
        <is>
          <t>Panel Embeds - Bldg. 2</t>
        </is>
      </c>
      <c r="D19" s="47" t="inlineStr"/>
      <c r="E19" s="46" t="inlineStr">
        <is>
          <t>Embeds</t>
        </is>
      </c>
      <c r="F19" s="47" t="inlineStr">
        <is>
          <t>1</t>
        </is>
      </c>
      <c r="G19" s="48" t="n">
        <v>1</v>
      </c>
      <c r="H19" s="43" t="inlineStr">
        <is>
          <t>Released for Fabrication</t>
        </is>
      </c>
      <c r="I19" s="47" t="inlineStr"/>
      <c r="J19" s="46" t="inlineStr"/>
      <c r="K19" s="54" t="n">
        <v>46186</v>
      </c>
      <c r="L19" s="47" t="inlineStr"/>
      <c r="M19" s="47" t="inlineStr"/>
      <c r="N19" s="2" t="n"/>
      <c r="O19" s="2" t="n"/>
      <c r="P19" s="2" t="n"/>
    </row>
    <row r="20" ht="15" customHeight="1">
      <c r="A20" s="2" t="n"/>
      <c r="B20" s="40" t="inlineStr">
        <is>
          <t>S-010</t>
        </is>
      </c>
      <c r="C20" s="40" t="inlineStr">
        <is>
          <t>Main Steel - Bldg. 1</t>
        </is>
      </c>
      <c r="D20" s="41" t="inlineStr">
        <is>
          <t>05 12 00</t>
        </is>
      </c>
      <c r="E20" s="40" t="inlineStr">
        <is>
          <t>Structural</t>
        </is>
      </c>
      <c r="F20" s="41" t="inlineStr">
        <is>
          <t>2</t>
        </is>
      </c>
      <c r="G20" s="42" t="n">
        <v>2</v>
      </c>
      <c r="H20" s="43" t="inlineStr">
        <is>
          <t>Released for Fabrication</t>
        </is>
      </c>
      <c r="I20" s="41" t="inlineStr"/>
      <c r="J20" s="40" t="inlineStr">
        <is>
          <t>Khran / Ware-Malcomb</t>
        </is>
      </c>
      <c r="K20" s="53" t="n">
        <v>46186</v>
      </c>
      <c r="L20" s="41" t="inlineStr"/>
      <c r="M20" s="41" t="inlineStr"/>
      <c r="N20" s="2" t="n"/>
      <c r="O20" s="2" t="n"/>
      <c r="P20" s="2" t="n"/>
    </row>
    <row r="21" ht="15" customHeight="1">
      <c r="A21" s="2" t="n"/>
      <c r="B21" s="46" t="inlineStr">
        <is>
          <t>S-006</t>
        </is>
      </c>
      <c r="C21" s="46" t="inlineStr">
        <is>
          <t>Anchor Bolts - Bldg. 1 &amp; 2</t>
        </is>
      </c>
      <c r="D21" s="47" t="inlineStr">
        <is>
          <t>05 12 00</t>
        </is>
      </c>
      <c r="E21" s="46" t="inlineStr">
        <is>
          <t>Anchor Bolts</t>
        </is>
      </c>
      <c r="F21" s="47" t="inlineStr">
        <is>
          <t>1</t>
        </is>
      </c>
      <c r="G21" s="48" t="n">
        <v>1</v>
      </c>
      <c r="H21" s="43" t="inlineStr">
        <is>
          <t>Released for Fabrication</t>
        </is>
      </c>
      <c r="I21" s="47" t="inlineStr">
        <is>
          <t>S&amp;H</t>
        </is>
      </c>
      <c r="J21" s="46" t="inlineStr">
        <is>
          <t>Khran / Ware-Malcomb</t>
        </is>
      </c>
      <c r="K21" s="54" t="n">
        <v>46186</v>
      </c>
      <c r="L21" s="47" t="inlineStr"/>
      <c r="M21" s="47" t="inlineStr"/>
      <c r="N21" s="2" t="n"/>
      <c r="O21" s="2" t="n"/>
      <c r="P21" s="2" t="n"/>
    </row>
    <row r="22" ht="15" customHeight="1">
      <c r="A22" s="2" t="n"/>
      <c r="B22" s="40" t="inlineStr">
        <is>
          <t>S-015</t>
        </is>
      </c>
      <c r="C22" s="40" t="inlineStr">
        <is>
          <t>Wedge Canopy Mockups</t>
        </is>
      </c>
      <c r="D22" s="41" t="inlineStr">
        <is>
          <t>05 12 00</t>
        </is>
      </c>
      <c r="E22" s="40" t="inlineStr">
        <is>
          <t>Mock Up</t>
        </is>
      </c>
      <c r="F22" s="41" t="inlineStr">
        <is>
          <t>1</t>
        </is>
      </c>
      <c r="G22" s="42" t="n">
        <v>1</v>
      </c>
      <c r="H22" s="43" t="inlineStr">
        <is>
          <t>Released for Fabrication</t>
        </is>
      </c>
      <c r="I22" s="41" t="inlineStr">
        <is>
          <t>S&amp;H</t>
        </is>
      </c>
      <c r="J22" s="40" t="inlineStr">
        <is>
          <t>LGE</t>
        </is>
      </c>
      <c r="K22" s="53" t="n">
        <v>46188</v>
      </c>
      <c r="L22" s="53" t="n">
        <v>46188</v>
      </c>
      <c r="M22" s="41" t="inlineStr"/>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sheetData>
  <autoFilter ref="B9:M22"/>
  <mergeCells count="5">
    <mergeCell ref="A1:P1"/>
    <mergeCell ref="B4:N4"/>
    <mergeCell ref="B6:N6"/>
    <mergeCell ref="B3:N3"/>
    <mergeCell ref="B2:N2"/>
  </mergeCells>
  <pageMargins left="0.75" right="0.75" top="1" bottom="1" header="0.5" footer="0.5"/>
</worksheet>
</file>

<file path=xl/worksheets/sheet7.xml><?xml version="1.0" encoding="utf-8"?>
<worksheet xmlns="http://schemas.openxmlformats.org/spreadsheetml/2006/main">
  <sheetPr>
    <tabColor rgb="001F2937"/>
    <outlinePr summaryBelow="1" summaryRight="1"/>
    <pageSetUpPr/>
  </sheetPr>
  <dimension ref="A1:R6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34" customWidth="1" min="3" max="3"/>
    <col width="11" customWidth="1" min="4" max="4"/>
    <col width="17" customWidth="1" min="5" max="5"/>
    <col width="9" customWidth="1" min="6" max="6"/>
    <col width="8" customWidth="1" min="7" max="7"/>
    <col width="11" customWidth="1" min="8" max="8"/>
    <col width="11" customWidth="1" min="9" max="9"/>
    <col width="11" customWidth="1" min="10" max="10"/>
    <col width="6" customWidth="1" min="11" max="11"/>
    <col width="6" customWidth="1" min="12" max="12"/>
    <col width="40" customWidth="1" min="13" max="13"/>
    <col width="40" customWidth="1" min="14" max="14"/>
    <col width="2.4" customWidth="1" min="17" max="17"/>
    <col width="2.4" customWidth="1" min="18" max="18"/>
  </cols>
  <sheetData>
    <row r="1">
      <c r="A1" s="1" t="n"/>
      <c r="B1" s="2" t="n"/>
      <c r="C1" s="2" t="n"/>
      <c r="D1" s="2" t="n"/>
      <c r="E1" s="2" t="n"/>
      <c r="F1" s="2" t="n"/>
      <c r="G1" s="2" t="n"/>
      <c r="H1" s="2" t="n"/>
      <c r="I1" s="2" t="n"/>
      <c r="J1" s="2" t="n"/>
      <c r="K1" s="2" t="n"/>
      <c r="L1" s="2" t="n"/>
      <c r="M1" s="2" t="n"/>
      <c r="N1" s="2" t="n"/>
      <c r="O1" s="2" t="n"/>
      <c r="P1" s="2" t="n"/>
      <c r="Q1" s="2" t="n"/>
      <c r="R1" s="2" t="n"/>
    </row>
    <row r="2" ht="30" customHeight="1">
      <c r="A2" s="2" t="n"/>
      <c r="B2" s="22" t="inlineStr">
        <is>
          <t>RFIs</t>
        </is>
      </c>
      <c r="C2" s="2" t="n"/>
      <c r="D2" s="2" t="n"/>
      <c r="E2" s="2" t="n"/>
      <c r="F2" s="2" t="n"/>
      <c r="G2" s="2" t="n"/>
      <c r="H2" s="2" t="n"/>
      <c r="I2" s="2" t="n"/>
      <c r="J2" s="2" t="n"/>
      <c r="K2" s="2" t="n"/>
      <c r="L2" s="2" t="n"/>
      <c r="M2" s="2" t="n"/>
      <c r="N2" s="2" t="n"/>
      <c r="O2" s="2" t="n"/>
      <c r="P2" s="2" t="n"/>
      <c r="Q2" s="2" t="n"/>
      <c r="R2" s="2" t="n"/>
    </row>
    <row r="3" ht="18" customHeight="1">
      <c r="A3" s="2" t="n"/>
      <c r="B3" s="23" t="inlineStr">
        <is>
          <t>59 requests · 4 open · 1 cost-impact · 8 schedule-impact</t>
        </is>
      </c>
      <c r="C3" s="2" t="n"/>
      <c r="D3" s="2" t="n"/>
      <c r="E3" s="2" t="n"/>
      <c r="F3" s="2" t="n"/>
      <c r="G3" s="2" t="n"/>
      <c r="H3" s="2" t="n"/>
      <c r="I3" s="2" t="n"/>
      <c r="J3" s="2" t="n"/>
      <c r="K3" s="2" t="n"/>
      <c r="L3" s="2" t="n"/>
      <c r="M3" s="2" t="n"/>
      <c r="N3" s="2" t="n"/>
      <c r="O3" s="2" t="n"/>
      <c r="P3" s="2" t="n"/>
      <c r="Q3" s="2" t="n"/>
      <c r="R3" s="2" t="n"/>
    </row>
    <row r="4" ht="3" customHeight="1">
      <c r="A4" s="2" t="n"/>
      <c r="B4" s="5"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ht="26" customHeight="1">
      <c r="A6" s="2" t="n"/>
      <c r="B6" s="38" t="inlineStr">
        <is>
          <t>RFI #</t>
        </is>
      </c>
      <c r="C6" s="38" t="inlineStr">
        <is>
          <t>Subject</t>
        </is>
      </c>
      <c r="D6" s="38" t="inlineStr">
        <is>
          <t>Discipline</t>
        </is>
      </c>
      <c r="E6" s="38" t="inlineStr">
        <is>
          <t>Status</t>
        </is>
      </c>
      <c r="F6" s="38" t="inlineStr">
        <is>
          <t>Priority</t>
        </is>
      </c>
      <c r="G6" s="39" t="inlineStr">
        <is>
          <t>Ball</t>
        </is>
      </c>
      <c r="H6" s="38" t="inlineStr">
        <is>
          <t>Assigned</t>
        </is>
      </c>
      <c r="I6" s="39" t="inlineStr">
        <is>
          <t>Submitted</t>
        </is>
      </c>
      <c r="J6" s="39" t="inlineStr">
        <is>
          <t>Answered</t>
        </is>
      </c>
      <c r="K6" s="39" t="inlineStr">
        <is>
          <t>Cost</t>
        </is>
      </c>
      <c r="L6" s="39" t="inlineStr">
        <is>
          <t>Sched</t>
        </is>
      </c>
      <c r="M6" s="38" t="inlineStr">
        <is>
          <t>Question</t>
        </is>
      </c>
      <c r="N6" s="38" t="inlineStr">
        <is>
          <t>Answer</t>
        </is>
      </c>
      <c r="O6" s="2" t="n"/>
      <c r="P6" s="2" t="n"/>
      <c r="Q6" s="2" t="n"/>
      <c r="R6" s="2" t="n"/>
    </row>
    <row r="7" ht="30" customHeight="1">
      <c r="A7" s="2" t="n"/>
      <c r="B7" s="40" t="inlineStr">
        <is>
          <t>RFI #001</t>
        </is>
      </c>
      <c r="C7" s="40" t="inlineStr">
        <is>
          <t>2025.12.12) - Gridline Conflict -</t>
        </is>
      </c>
      <c r="D7" s="40" t="inlineStr"/>
      <c r="E7" s="43" t="inlineStr">
        <is>
          <t>Closed</t>
        </is>
      </c>
      <c r="F7" s="50" t="inlineStr">
        <is>
          <t>Medium</t>
        </is>
      </c>
      <c r="G7" s="41" t="inlineStr">
        <is>
          <t>GC</t>
        </is>
      </c>
      <c r="H7" s="40" t="inlineStr">
        <is>
          <t>LGE</t>
        </is>
      </c>
      <c r="I7" s="53" t="n">
        <v>46003</v>
      </c>
      <c r="J7" s="53" t="n">
        <v>46003</v>
      </c>
      <c r="K7" s="44" t="inlineStr"/>
      <c r="L7" s="44" t="inlineStr">
        <is>
          <t>✓</t>
        </is>
      </c>
      <c r="M7" s="59" t="inlineStr">
        <is>
          <t>2025.12.12) - Gridline Conflict -</t>
        </is>
      </c>
      <c r="N7" s="59" t="inlineStr"/>
      <c r="O7" s="2" t="n"/>
      <c r="P7" s="2" t="n"/>
      <c r="Q7" s="2" t="n"/>
      <c r="R7" s="2" t="n"/>
    </row>
    <row r="8" ht="30" customHeight="1">
      <c r="A8" s="2" t="n"/>
      <c r="B8" s="46" t="inlineStr">
        <is>
          <t>RFI #002</t>
        </is>
      </c>
      <c r="C8" s="46" t="inlineStr">
        <is>
          <t>2025.12.12) - Column Information Conflict -</t>
        </is>
      </c>
      <c r="D8" s="46" t="inlineStr"/>
      <c r="E8" s="43" t="inlineStr">
        <is>
          <t>Closed</t>
        </is>
      </c>
      <c r="F8" s="50" t="inlineStr">
        <is>
          <t>Medium</t>
        </is>
      </c>
      <c r="G8" s="47" t="inlineStr">
        <is>
          <t>GC</t>
        </is>
      </c>
      <c r="H8" s="46" t="inlineStr">
        <is>
          <t>LGE</t>
        </is>
      </c>
      <c r="I8" s="54" t="n">
        <v>46003</v>
      </c>
      <c r="J8" s="54" t="n">
        <v>46003</v>
      </c>
      <c r="K8" s="49" t="inlineStr"/>
      <c r="L8" s="49" t="inlineStr"/>
      <c r="M8" s="60" t="inlineStr">
        <is>
          <t>2025.12.12) - Column Information Conflict -</t>
        </is>
      </c>
      <c r="N8" s="60" t="inlineStr"/>
      <c r="O8" s="2" t="n"/>
      <c r="P8" s="2" t="n"/>
      <c r="Q8" s="2" t="n"/>
      <c r="R8" s="2" t="n"/>
    </row>
    <row r="9" ht="30" customHeight="1">
      <c r="A9" s="2" t="n"/>
      <c r="B9" s="40" t="inlineStr">
        <is>
          <t>RFI #003</t>
        </is>
      </c>
      <c r="C9" s="40" t="inlineStr">
        <is>
          <t>Roof Slope at Bldg. 1 &amp; 2</t>
        </is>
      </c>
      <c r="D9" s="40" t="inlineStr"/>
      <c r="E9" s="43" t="inlineStr">
        <is>
          <t>Closed</t>
        </is>
      </c>
      <c r="F9" s="50" t="inlineStr">
        <is>
          <t>Medium</t>
        </is>
      </c>
      <c r="G9" s="41" t="inlineStr">
        <is>
          <t>GC</t>
        </is>
      </c>
      <c r="H9" s="40" t="inlineStr">
        <is>
          <t>LGE</t>
        </is>
      </c>
      <c r="I9" s="53" t="n">
        <v>46009</v>
      </c>
      <c r="J9" s="53" t="n">
        <v>46064</v>
      </c>
      <c r="K9" s="44" t="inlineStr"/>
      <c r="L9" s="44" t="inlineStr"/>
      <c r="M9" s="59" t="inlineStr">
        <is>
          <t>Roof Slope at Bldg. 1 &amp; 2</t>
        </is>
      </c>
      <c r="N9" s="59" t="inlineStr"/>
      <c r="O9" s="2" t="n"/>
      <c r="P9" s="2" t="n"/>
      <c r="Q9" s="2" t="n"/>
      <c r="R9" s="2" t="n"/>
    </row>
    <row r="10" ht="30" customHeight="1">
      <c r="A10" s="2" t="n"/>
      <c r="B10" s="46" t="inlineStr">
        <is>
          <t>RFI #004</t>
        </is>
      </c>
      <c r="C10" s="46" t="inlineStr">
        <is>
          <t>Panel thickness at the building-1</t>
        </is>
      </c>
      <c r="D10" s="46" t="inlineStr"/>
      <c r="E10" s="43" t="inlineStr">
        <is>
          <t>Closed</t>
        </is>
      </c>
      <c r="F10" s="50" t="inlineStr">
        <is>
          <t>Medium</t>
        </is>
      </c>
      <c r="G10" s="47" t="inlineStr">
        <is>
          <t>GC</t>
        </is>
      </c>
      <c r="H10" s="46" t="inlineStr">
        <is>
          <t>LGE</t>
        </is>
      </c>
      <c r="I10" s="54" t="n">
        <v>46009</v>
      </c>
      <c r="J10" s="54" t="n">
        <v>46064</v>
      </c>
      <c r="K10" s="49" t="inlineStr"/>
      <c r="L10" s="49" t="inlineStr"/>
      <c r="M10" s="60" t="inlineStr">
        <is>
          <t>Panel thickness at the building-1</t>
        </is>
      </c>
      <c r="N10" s="60" t="inlineStr"/>
      <c r="O10" s="2" t="n"/>
      <c r="P10" s="2" t="n"/>
      <c r="Q10" s="2" t="n"/>
      <c r="R10" s="2" t="n"/>
    </row>
    <row r="11" ht="30" customHeight="1">
      <c r="A11" s="2" t="n"/>
      <c r="B11" s="40" t="inlineStr">
        <is>
          <t>RFI #005</t>
        </is>
      </c>
      <c r="C11" s="40" t="inlineStr">
        <is>
          <t>Beam to Column Moment Connection Requirement in Building 1</t>
        </is>
      </c>
      <c r="D11" s="40" t="inlineStr"/>
      <c r="E11" s="43" t="inlineStr">
        <is>
          <t>Closed</t>
        </is>
      </c>
      <c r="F11" s="50" t="inlineStr">
        <is>
          <t>Medium</t>
        </is>
      </c>
      <c r="G11" s="41" t="inlineStr">
        <is>
          <t>GC</t>
        </is>
      </c>
      <c r="H11" s="40" t="inlineStr">
        <is>
          <t>LGE</t>
        </is>
      </c>
      <c r="I11" s="53" t="n">
        <v>46009</v>
      </c>
      <c r="J11" s="53" t="n">
        <v>46064</v>
      </c>
      <c r="K11" s="44" t="inlineStr"/>
      <c r="L11" s="44" t="inlineStr"/>
      <c r="M11" s="59" t="inlineStr">
        <is>
          <t>Beam to Column Moment Connection Requirement in Building 1</t>
        </is>
      </c>
      <c r="N11" s="59" t="inlineStr"/>
      <c r="O11" s="2" t="n"/>
      <c r="P11" s="2" t="n"/>
      <c r="Q11" s="2" t="n"/>
      <c r="R11" s="2" t="n"/>
    </row>
    <row r="12" ht="30" customHeight="1">
      <c r="A12" s="2" t="n"/>
      <c r="B12" s="46" t="inlineStr">
        <is>
          <t>RFI #006</t>
        </is>
      </c>
      <c r="C12" s="46" t="inlineStr">
        <is>
          <t>Stair 1 Wall Layout at Bldg. 1</t>
        </is>
      </c>
      <c r="D12" s="46" t="inlineStr"/>
      <c r="E12" s="43" t="inlineStr">
        <is>
          <t>Closed</t>
        </is>
      </c>
      <c r="F12" s="50" t="inlineStr">
        <is>
          <t>Medium</t>
        </is>
      </c>
      <c r="G12" s="47" t="inlineStr">
        <is>
          <t>GC</t>
        </is>
      </c>
      <c r="H12" s="46" t="inlineStr">
        <is>
          <t>LGE</t>
        </is>
      </c>
      <c r="I12" s="54" t="n">
        <v>46009</v>
      </c>
      <c r="J12" s="54" t="n">
        <v>46104</v>
      </c>
      <c r="K12" s="49" t="inlineStr"/>
      <c r="L12" s="49" t="inlineStr"/>
      <c r="M12" s="60" t="inlineStr">
        <is>
          <t>Stair 1 Wall Layout at Bldg. 1</t>
        </is>
      </c>
      <c r="N12" s="60" t="inlineStr"/>
      <c r="O12" s="2" t="n"/>
      <c r="P12" s="2" t="n"/>
      <c r="Q12" s="2" t="n"/>
      <c r="R12" s="2" t="n"/>
    </row>
    <row r="13" ht="30" customHeight="1">
      <c r="A13" s="2" t="n"/>
      <c r="B13" s="40" t="inlineStr">
        <is>
          <t>RFI #007</t>
        </is>
      </c>
      <c r="C13" s="40" t="inlineStr">
        <is>
          <t>Beam Splice Connection Requirement in Bldg. 1 &amp; 2</t>
        </is>
      </c>
      <c r="D13" s="40" t="inlineStr"/>
      <c r="E13" s="43" t="inlineStr">
        <is>
          <t>Closed</t>
        </is>
      </c>
      <c r="F13" s="50" t="inlineStr">
        <is>
          <t>Medium</t>
        </is>
      </c>
      <c r="G13" s="41" t="inlineStr">
        <is>
          <t>GC</t>
        </is>
      </c>
      <c r="H13" s="40" t="inlineStr">
        <is>
          <t>LGE</t>
        </is>
      </c>
      <c r="I13" s="53" t="n">
        <v>46009</v>
      </c>
      <c r="J13" s="53" t="n">
        <v>46064</v>
      </c>
      <c r="K13" s="44" t="inlineStr"/>
      <c r="L13" s="44" t="inlineStr"/>
      <c r="M13" s="59" t="inlineStr">
        <is>
          <t>Beam Splice Connection Requirement in Bldg. 1 &amp; 2</t>
        </is>
      </c>
      <c r="N13" s="59" t="inlineStr"/>
      <c r="O13" s="2" t="n"/>
      <c r="P13" s="2" t="n"/>
      <c r="Q13" s="2" t="n"/>
      <c r="R13" s="2" t="n"/>
    </row>
    <row r="14" ht="30" customHeight="1">
      <c r="A14" s="2" t="n"/>
      <c r="B14" s="46" t="inlineStr">
        <is>
          <t>RFI #008</t>
        </is>
      </c>
      <c r="C14" s="46" t="inlineStr">
        <is>
          <t>Column Member Section Size at Bldg. 2</t>
        </is>
      </c>
      <c r="D14" s="46" t="inlineStr"/>
      <c r="E14" s="43" t="inlineStr">
        <is>
          <t>Closed</t>
        </is>
      </c>
      <c r="F14" s="50" t="inlineStr">
        <is>
          <t>Medium</t>
        </is>
      </c>
      <c r="G14" s="47" t="inlineStr">
        <is>
          <t>GC</t>
        </is>
      </c>
      <c r="H14" s="46" t="inlineStr">
        <is>
          <t>LGE</t>
        </is>
      </c>
      <c r="I14" s="54" t="n">
        <v>46020</v>
      </c>
      <c r="J14" s="54" t="n">
        <v>46040</v>
      </c>
      <c r="K14" s="49" t="inlineStr"/>
      <c r="L14" s="49" t="inlineStr"/>
      <c r="M14" s="60" t="inlineStr">
        <is>
          <t>Column Member Section Size at Bldg. 2</t>
        </is>
      </c>
      <c r="N14" s="60" t="inlineStr"/>
      <c r="O14" s="2" t="n"/>
      <c r="P14" s="2" t="n"/>
      <c r="Q14" s="2" t="n"/>
      <c r="R14" s="2" t="n"/>
    </row>
    <row r="15" ht="30" customHeight="1">
      <c r="A15" s="2" t="n"/>
      <c r="B15" s="40" t="inlineStr">
        <is>
          <t>RFI #009</t>
        </is>
      </c>
      <c r="C15" s="40" t="inlineStr">
        <is>
          <t>Column Origin at Bldg. 2</t>
        </is>
      </c>
      <c r="D15" s="40" t="inlineStr"/>
      <c r="E15" s="43" t="inlineStr">
        <is>
          <t>Closed</t>
        </is>
      </c>
      <c r="F15" s="50" t="inlineStr">
        <is>
          <t>Medium</t>
        </is>
      </c>
      <c r="G15" s="41" t="inlineStr">
        <is>
          <t>GC</t>
        </is>
      </c>
      <c r="H15" s="40" t="inlineStr">
        <is>
          <t>LGE</t>
        </is>
      </c>
      <c r="I15" s="53" t="n">
        <v>46020</v>
      </c>
      <c r="J15" s="53" t="n">
        <v>46040</v>
      </c>
      <c r="K15" s="44" t="inlineStr"/>
      <c r="L15" s="44" t="inlineStr"/>
      <c r="M15" s="59" t="inlineStr">
        <is>
          <t>Column Origin at Bldg. 2</t>
        </is>
      </c>
      <c r="N15" s="59" t="inlineStr"/>
      <c r="O15" s="2" t="n"/>
      <c r="P15" s="2" t="n"/>
      <c r="Q15" s="2" t="n"/>
      <c r="R15" s="2" t="n"/>
    </row>
    <row r="16" ht="30" customHeight="1">
      <c r="A16" s="2" t="n"/>
      <c r="B16" s="46" t="inlineStr">
        <is>
          <t>RFI #010</t>
        </is>
      </c>
      <c r="C16" s="46" t="inlineStr">
        <is>
          <t>Deatailed Layout of Stairs at Bldg. 2</t>
        </is>
      </c>
      <c r="D16" s="46" t="inlineStr"/>
      <c r="E16" s="43" t="inlineStr">
        <is>
          <t>Closed</t>
        </is>
      </c>
      <c r="F16" s="50" t="inlineStr">
        <is>
          <t>Medium</t>
        </is>
      </c>
      <c r="G16" s="47" t="inlineStr">
        <is>
          <t>GC</t>
        </is>
      </c>
      <c r="H16" s="46" t="inlineStr">
        <is>
          <t>LGE</t>
        </is>
      </c>
      <c r="I16" s="54" t="n">
        <v>46020</v>
      </c>
      <c r="J16" s="54" t="n">
        <v>46083</v>
      </c>
      <c r="K16" s="49" t="inlineStr"/>
      <c r="L16" s="49" t="inlineStr"/>
      <c r="M16" s="60" t="inlineStr">
        <is>
          <t>Deatailed Layout of Stairs at Bldg. 2</t>
        </is>
      </c>
      <c r="N16" s="60" t="inlineStr"/>
      <c r="O16" s="2" t="n"/>
      <c r="P16" s="2" t="n"/>
      <c r="Q16" s="2" t="n"/>
      <c r="R16" s="2" t="n"/>
    </row>
    <row r="17" ht="30" customHeight="1">
      <c r="A17" s="2" t="n"/>
      <c r="B17" s="40" t="inlineStr">
        <is>
          <t>RFI #011</t>
        </is>
      </c>
      <c r="C17" s="40" t="inlineStr">
        <is>
          <t>Door Opening and Platform Location</t>
        </is>
      </c>
      <c r="D17" s="40" t="inlineStr"/>
      <c r="E17" s="43" t="inlineStr">
        <is>
          <t>Closed</t>
        </is>
      </c>
      <c r="F17" s="50" t="inlineStr">
        <is>
          <t>Medium</t>
        </is>
      </c>
      <c r="G17" s="41" t="inlineStr">
        <is>
          <t>GC</t>
        </is>
      </c>
      <c r="H17" s="40" t="inlineStr">
        <is>
          <t>LGE</t>
        </is>
      </c>
      <c r="I17" s="53" t="n">
        <v>46022</v>
      </c>
      <c r="J17" s="53" t="n">
        <v>46064</v>
      </c>
      <c r="K17" s="44" t="inlineStr"/>
      <c r="L17" s="44" t="inlineStr"/>
      <c r="M17" s="59" t="inlineStr">
        <is>
          <t>Door Opening and Platform Location</t>
        </is>
      </c>
      <c r="N17" s="59" t="inlineStr"/>
      <c r="O17" s="2" t="n"/>
      <c r="P17" s="2" t="n"/>
      <c r="Q17" s="2" t="n"/>
      <c r="R17" s="2" t="n"/>
    </row>
    <row r="18" ht="30" customHeight="1">
      <c r="A18" s="2" t="n"/>
      <c r="B18" s="46" t="inlineStr">
        <is>
          <t>RFI #012</t>
        </is>
      </c>
      <c r="C18" s="46" t="inlineStr">
        <is>
          <t>Steel Landing Length in Building 1 &amp; 2</t>
        </is>
      </c>
      <c r="D18" s="46" t="inlineStr"/>
      <c r="E18" s="43" t="inlineStr">
        <is>
          <t>Closed</t>
        </is>
      </c>
      <c r="F18" s="50" t="inlineStr">
        <is>
          <t>Medium</t>
        </is>
      </c>
      <c r="G18" s="47" t="inlineStr">
        <is>
          <t>GC</t>
        </is>
      </c>
      <c r="H18" s="46" t="inlineStr">
        <is>
          <t>LGE</t>
        </is>
      </c>
      <c r="I18" s="54" t="n">
        <v>46022</v>
      </c>
      <c r="J18" s="54" t="n">
        <v>46163</v>
      </c>
      <c r="K18" s="49" t="inlineStr"/>
      <c r="L18" s="49" t="inlineStr"/>
      <c r="M18" s="60" t="inlineStr">
        <is>
          <t>Steel Landing Length in Building 1 &amp; 2</t>
        </is>
      </c>
      <c r="N18" s="60" t="inlineStr"/>
      <c r="O18" s="2" t="n"/>
      <c r="P18" s="2" t="n"/>
      <c r="Q18" s="2" t="n"/>
      <c r="R18" s="2" t="n"/>
    </row>
    <row r="19" ht="30" customHeight="1">
      <c r="A19" s="2" t="n"/>
      <c r="B19" s="40" t="inlineStr">
        <is>
          <t>RFI #013</t>
        </is>
      </c>
      <c r="C19" s="40" t="inlineStr">
        <is>
          <t>Door Size and Elevation in Building 2</t>
        </is>
      </c>
      <c r="D19" s="40" t="inlineStr"/>
      <c r="E19" s="43" t="inlineStr">
        <is>
          <t>Closed</t>
        </is>
      </c>
      <c r="F19" s="50" t="inlineStr">
        <is>
          <t>Medium</t>
        </is>
      </c>
      <c r="G19" s="41" t="inlineStr">
        <is>
          <t>GC</t>
        </is>
      </c>
      <c r="H19" s="40" t="inlineStr">
        <is>
          <t>LGE</t>
        </is>
      </c>
      <c r="I19" s="53" t="n">
        <v>46027</v>
      </c>
      <c r="J19" s="53" t="n">
        <v>46064</v>
      </c>
      <c r="K19" s="44" t="inlineStr"/>
      <c r="L19" s="44" t="inlineStr"/>
      <c r="M19" s="59" t="inlineStr">
        <is>
          <t>Door Size and Elevation in Building 2</t>
        </is>
      </c>
      <c r="N19" s="59" t="inlineStr"/>
      <c r="O19" s="2" t="n"/>
      <c r="P19" s="2" t="n"/>
      <c r="Q19" s="2" t="n"/>
      <c r="R19" s="2" t="n"/>
    </row>
    <row r="20" ht="30" customHeight="1">
      <c r="A20" s="2" t="n"/>
      <c r="B20" s="46" t="inlineStr">
        <is>
          <t>RFI #014</t>
        </is>
      </c>
      <c r="C20" s="46" t="inlineStr">
        <is>
          <t>Ladder and Landing Support Building 1 &amp; 2</t>
        </is>
      </c>
      <c r="D20" s="46" t="inlineStr">
        <is>
          <t>Structural</t>
        </is>
      </c>
      <c r="E20" s="43" t="inlineStr">
        <is>
          <t>Closed</t>
        </is>
      </c>
      <c r="F20" s="50" t="inlineStr">
        <is>
          <t>Medium</t>
        </is>
      </c>
      <c r="G20" s="47" t="inlineStr">
        <is>
          <t>GC</t>
        </is>
      </c>
      <c r="H20" s="46" t="inlineStr">
        <is>
          <t>LGE</t>
        </is>
      </c>
      <c r="I20" s="54" t="n">
        <v>46028</v>
      </c>
      <c r="J20" s="54" t="n">
        <v>46186</v>
      </c>
      <c r="K20" s="49" t="inlineStr"/>
      <c r="L20" s="49" t="inlineStr">
        <is>
          <t>✓</t>
        </is>
      </c>
      <c r="M20" s="60" t="inlineStr">
        <is>
          <t>Ladder and Landing Support Building 1 &amp; 2</t>
        </is>
      </c>
      <c r="N20" s="60" t="inlineStr">
        <is>
          <t>Please see attached</t>
        </is>
      </c>
      <c r="O20" s="2" t="n"/>
      <c r="P20" s="2" t="n"/>
      <c r="Q20" s="2" t="n"/>
      <c r="R20" s="2" t="n"/>
    </row>
    <row r="21" ht="30" customHeight="1">
      <c r="A21" s="2" t="n"/>
      <c r="B21" s="40" t="inlineStr">
        <is>
          <t>RFI #015</t>
        </is>
      </c>
      <c r="C21" s="40" t="inlineStr">
        <is>
          <t>Panel Hold Down Embed Building 1 &amp; 2</t>
        </is>
      </c>
      <c r="D21" s="40" t="inlineStr"/>
      <c r="E21" s="43" t="inlineStr">
        <is>
          <t>Closed</t>
        </is>
      </c>
      <c r="F21" s="50" t="inlineStr">
        <is>
          <t>Medium</t>
        </is>
      </c>
      <c r="G21" s="41" t="inlineStr">
        <is>
          <t>GC</t>
        </is>
      </c>
      <c r="H21" s="40" t="inlineStr">
        <is>
          <t>LGE</t>
        </is>
      </c>
      <c r="I21" s="53" t="n">
        <v>46035</v>
      </c>
      <c r="J21" s="53" t="n">
        <v>46036</v>
      </c>
      <c r="K21" s="44" t="inlineStr"/>
      <c r="L21" s="44" t="inlineStr"/>
      <c r="M21" s="59" t="inlineStr">
        <is>
          <t>Panel Hold Down Embed Building 1 &amp; 2</t>
        </is>
      </c>
      <c r="N21" s="59" t="inlineStr"/>
      <c r="O21" s="2" t="n"/>
      <c r="P21" s="2" t="n"/>
      <c r="Q21" s="2" t="n"/>
      <c r="R21" s="2" t="n"/>
    </row>
    <row r="22" ht="30" customHeight="1">
      <c r="A22" s="2" t="n"/>
      <c r="B22" s="46" t="inlineStr">
        <is>
          <t>RFI #016</t>
        </is>
      </c>
      <c r="C22" s="46" t="inlineStr">
        <is>
          <t>Panel Thickness &amp; Embed Locations Building 1 &amp; 2</t>
        </is>
      </c>
      <c r="D22" s="46" t="inlineStr"/>
      <c r="E22" s="43" t="inlineStr">
        <is>
          <t>Closed</t>
        </is>
      </c>
      <c r="F22" s="50" t="inlineStr">
        <is>
          <t>Medium</t>
        </is>
      </c>
      <c r="G22" s="47" t="inlineStr">
        <is>
          <t>GC</t>
        </is>
      </c>
      <c r="H22" s="46" t="inlineStr">
        <is>
          <t>LGE</t>
        </is>
      </c>
      <c r="I22" s="54" t="n">
        <v>46035</v>
      </c>
      <c r="J22" s="54" t="n">
        <v>46036</v>
      </c>
      <c r="K22" s="49" t="inlineStr"/>
      <c r="L22" s="49" t="inlineStr"/>
      <c r="M22" s="60" t="inlineStr">
        <is>
          <t>Panel Thickness &amp; Embed Locations Building 1 &amp; 2</t>
        </is>
      </c>
      <c r="N22" s="60" t="inlineStr"/>
      <c r="O22" s="2" t="n"/>
      <c r="P22" s="2" t="n"/>
      <c r="Q22" s="2" t="n"/>
      <c r="R22" s="2" t="n"/>
    </row>
    <row r="23" ht="30" customHeight="1">
      <c r="A23" s="2" t="n"/>
      <c r="B23" s="40" t="inlineStr">
        <is>
          <t>RFI #017</t>
        </is>
      </c>
      <c r="C23" s="40" t="inlineStr">
        <is>
          <t>Panel Gap &amp; Joist Bearing Connection</t>
        </is>
      </c>
      <c r="D23" s="40" t="inlineStr"/>
      <c r="E23" s="43" t="inlineStr">
        <is>
          <t>Closed</t>
        </is>
      </c>
      <c r="F23" s="50" t="inlineStr">
        <is>
          <t>Medium</t>
        </is>
      </c>
      <c r="G23" s="41" t="inlineStr">
        <is>
          <t>GC</t>
        </is>
      </c>
      <c r="H23" s="40" t="inlineStr">
        <is>
          <t>LGE</t>
        </is>
      </c>
      <c r="I23" s="53" t="n">
        <v>46035</v>
      </c>
      <c r="J23" s="53" t="n">
        <v>46036</v>
      </c>
      <c r="K23" s="44" t="inlineStr"/>
      <c r="L23" s="44" t="inlineStr"/>
      <c r="M23" s="59" t="inlineStr">
        <is>
          <t>Panel Gap &amp; Joist Bearing Connection</t>
        </is>
      </c>
      <c r="N23" s="59" t="inlineStr"/>
      <c r="O23" s="2" t="n"/>
      <c r="P23" s="2" t="n"/>
      <c r="Q23" s="2" t="n"/>
      <c r="R23" s="2" t="n"/>
    </row>
    <row r="24" ht="30" customHeight="1">
      <c r="A24" s="2" t="n"/>
      <c r="B24" s="46" t="inlineStr">
        <is>
          <t>RFI #018</t>
        </is>
      </c>
      <c r="C24" s="46" t="inlineStr">
        <is>
          <t>Joist Seat Depth</t>
        </is>
      </c>
      <c r="D24" s="46" t="inlineStr"/>
      <c r="E24" s="43" t="inlineStr">
        <is>
          <t>Closed</t>
        </is>
      </c>
      <c r="F24" s="50" t="inlineStr">
        <is>
          <t>Medium</t>
        </is>
      </c>
      <c r="G24" s="47" t="inlineStr">
        <is>
          <t>GC</t>
        </is>
      </c>
      <c r="H24" s="46" t="inlineStr">
        <is>
          <t>LGE</t>
        </is>
      </c>
      <c r="I24" s="54" t="n">
        <v>46036</v>
      </c>
      <c r="J24" s="54" t="n">
        <v>46038</v>
      </c>
      <c r="K24" s="49" t="inlineStr"/>
      <c r="L24" s="49" t="inlineStr"/>
      <c r="M24" s="60" t="inlineStr">
        <is>
          <t>Joist Seat Depth</t>
        </is>
      </c>
      <c r="N24" s="60" t="inlineStr"/>
      <c r="O24" s="2" t="n"/>
      <c r="P24" s="2" t="n"/>
      <c r="Q24" s="2" t="n"/>
      <c r="R24" s="2" t="n"/>
    </row>
    <row r="25" ht="30" customHeight="1">
      <c r="A25" s="2" t="n"/>
      <c r="B25" s="40" t="inlineStr">
        <is>
          <t>RFI #019</t>
        </is>
      </c>
      <c r="C25" s="40" t="inlineStr">
        <is>
          <t>Clear Width &amp; Tread Arrangement</t>
        </is>
      </c>
      <c r="D25" s="40" t="inlineStr"/>
      <c r="E25" s="43" t="inlineStr">
        <is>
          <t>Closed</t>
        </is>
      </c>
      <c r="F25" s="50" t="inlineStr">
        <is>
          <t>Medium</t>
        </is>
      </c>
      <c r="G25" s="41" t="inlineStr">
        <is>
          <t>GC</t>
        </is>
      </c>
      <c r="H25" s="40" t="inlineStr">
        <is>
          <t>LGE</t>
        </is>
      </c>
      <c r="I25" s="53" t="n">
        <v>46036</v>
      </c>
      <c r="J25" s="53" t="n">
        <v>46083</v>
      </c>
      <c r="K25" s="44" t="inlineStr"/>
      <c r="L25" s="44" t="inlineStr"/>
      <c r="M25" s="59" t="inlineStr">
        <is>
          <t>Clear Width &amp; Tread Arrangement</t>
        </is>
      </c>
      <c r="N25" s="59" t="inlineStr"/>
      <c r="O25" s="2" t="n"/>
      <c r="P25" s="2" t="n"/>
      <c r="Q25" s="2" t="n"/>
      <c r="R25" s="2" t="n"/>
    </row>
    <row r="26" ht="30" customHeight="1">
      <c r="A26" s="2" t="n"/>
      <c r="B26" s="46" t="inlineStr">
        <is>
          <t>RFI #020</t>
        </is>
      </c>
      <c r="C26" s="46" t="inlineStr">
        <is>
          <t>Balcony &amp; Stair Member Confirmation</t>
        </is>
      </c>
      <c r="D26" s="46" t="inlineStr"/>
      <c r="E26" s="43" t="inlineStr">
        <is>
          <t>Closed</t>
        </is>
      </c>
      <c r="F26" s="50" t="inlineStr">
        <is>
          <t>Medium</t>
        </is>
      </c>
      <c r="G26" s="47" t="inlineStr">
        <is>
          <t>GC</t>
        </is>
      </c>
      <c r="H26" s="46" t="inlineStr">
        <is>
          <t>LGE</t>
        </is>
      </c>
      <c r="I26" s="54" t="n">
        <v>46036</v>
      </c>
      <c r="J26" s="54" t="n">
        <v>46040</v>
      </c>
      <c r="K26" s="49" t="inlineStr"/>
      <c r="L26" s="49" t="inlineStr"/>
      <c r="M26" s="60" t="inlineStr">
        <is>
          <t>Balcony &amp; Stair Member Confirmation</t>
        </is>
      </c>
      <c r="N26" s="60" t="inlineStr"/>
      <c r="O26" s="2" t="n"/>
      <c r="P26" s="2" t="n"/>
      <c r="Q26" s="2" t="n"/>
      <c r="R26" s="2" t="n"/>
    </row>
    <row r="27" ht="30" customHeight="1">
      <c r="A27" s="2" t="n"/>
      <c r="B27" s="40" t="inlineStr">
        <is>
          <t>RFI #021</t>
        </is>
      </c>
      <c r="C27" s="40" t="inlineStr">
        <is>
          <t>Regarding canopy beams &amp; their elvation at the office-4 area of building-2</t>
        </is>
      </c>
      <c r="D27" s="40" t="inlineStr"/>
      <c r="E27" s="43" t="inlineStr">
        <is>
          <t>Closed</t>
        </is>
      </c>
      <c r="F27" s="50" t="inlineStr">
        <is>
          <t>Medium</t>
        </is>
      </c>
      <c r="G27" s="41" t="inlineStr">
        <is>
          <t>GC</t>
        </is>
      </c>
      <c r="H27" s="40" t="inlineStr">
        <is>
          <t>LGE</t>
        </is>
      </c>
      <c r="I27" s="53" t="n">
        <v>46054</v>
      </c>
      <c r="J27" s="53" t="n">
        <v>46157</v>
      </c>
      <c r="K27" s="44" t="inlineStr"/>
      <c r="L27" s="44" t="inlineStr"/>
      <c r="M27" s="59" t="inlineStr">
        <is>
          <t>Regarding canopy beams &amp; their elvation at the office-4 area of building-2</t>
        </is>
      </c>
      <c r="N27" s="59" t="inlineStr"/>
      <c r="O27" s="2" t="n"/>
      <c r="P27" s="2" t="n"/>
      <c r="Q27" s="2" t="n"/>
      <c r="R27" s="2" t="n"/>
    </row>
    <row r="28" ht="30" customHeight="1">
      <c r="A28" s="2" t="n"/>
      <c r="B28" s="46" t="inlineStr">
        <is>
          <t>RFI #022</t>
        </is>
      </c>
      <c r="C28" s="46" t="inlineStr">
        <is>
          <t>Door Height at Hangars - Bldg. 2</t>
        </is>
      </c>
      <c r="D28" s="46" t="inlineStr"/>
      <c r="E28" s="43" t="inlineStr">
        <is>
          <t>Closed</t>
        </is>
      </c>
      <c r="F28" s="50" t="inlineStr">
        <is>
          <t>Medium</t>
        </is>
      </c>
      <c r="G28" s="47" t="inlineStr">
        <is>
          <t>GC</t>
        </is>
      </c>
      <c r="H28" s="46" t="inlineStr">
        <is>
          <t>LGE</t>
        </is>
      </c>
      <c r="I28" s="54" t="n">
        <v>46054</v>
      </c>
      <c r="J28" s="54" t="n">
        <v>46054</v>
      </c>
      <c r="K28" s="49" t="inlineStr"/>
      <c r="L28" s="49" t="inlineStr"/>
      <c r="M28" s="60" t="inlineStr">
        <is>
          <t>Door Height at Hangars - Bldg. 2</t>
        </is>
      </c>
      <c r="N28" s="60" t="inlineStr"/>
      <c r="O28" s="2" t="n"/>
      <c r="P28" s="2" t="n"/>
      <c r="Q28" s="2" t="n"/>
      <c r="R28" s="2" t="n"/>
    </row>
    <row r="29" ht="30" customHeight="1">
      <c r="A29" s="2" t="n"/>
      <c r="B29" s="40" t="inlineStr">
        <is>
          <t>RFI #023</t>
        </is>
      </c>
      <c r="C29" s="40" t="inlineStr">
        <is>
          <t>Regarding stair column footing in both building 1 &amp; 2</t>
        </is>
      </c>
      <c r="D29" s="40" t="inlineStr"/>
      <c r="E29" s="43" t="inlineStr">
        <is>
          <t>Closed</t>
        </is>
      </c>
      <c r="F29" s="50" t="inlineStr">
        <is>
          <t>Medium</t>
        </is>
      </c>
      <c r="G29" s="41" t="inlineStr">
        <is>
          <t>GC</t>
        </is>
      </c>
      <c r="H29" s="40" t="inlineStr">
        <is>
          <t>LGE</t>
        </is>
      </c>
      <c r="I29" s="53" t="n">
        <v>46066</v>
      </c>
      <c r="J29" s="53" t="n">
        <v>46083</v>
      </c>
      <c r="K29" s="44" t="inlineStr"/>
      <c r="L29" s="44" t="inlineStr"/>
      <c r="M29" s="59" t="inlineStr">
        <is>
          <t>Regarding stair column footing in both building 1 &amp; 2</t>
        </is>
      </c>
      <c r="N29" s="59" t="inlineStr"/>
      <c r="O29" s="2" t="n"/>
      <c r="P29" s="2" t="n"/>
      <c r="Q29" s="2" t="n"/>
      <c r="R29" s="2" t="n"/>
    </row>
    <row r="30" ht="30" customHeight="1">
      <c r="A30" s="2" t="n"/>
      <c r="B30" s="46" t="inlineStr">
        <is>
          <t>RFI #024</t>
        </is>
      </c>
      <c r="C30" s="46" t="inlineStr">
        <is>
          <t>Missing beam embed detail at building-2</t>
        </is>
      </c>
      <c r="D30" s="46" t="inlineStr"/>
      <c r="E30" s="43" t="inlineStr">
        <is>
          <t>Closed</t>
        </is>
      </c>
      <c r="F30" s="50" t="inlineStr">
        <is>
          <t>Medium</t>
        </is>
      </c>
      <c r="G30" s="47" t="inlineStr">
        <is>
          <t>GC</t>
        </is>
      </c>
      <c r="H30" s="46" t="inlineStr">
        <is>
          <t>LGE</t>
        </is>
      </c>
      <c r="I30" s="54" t="n">
        <v>46066</v>
      </c>
      <c r="J30" s="54" t="n">
        <v>46157</v>
      </c>
      <c r="K30" s="49" t="inlineStr"/>
      <c r="L30" s="49" t="inlineStr"/>
      <c r="M30" s="60" t="inlineStr">
        <is>
          <t>Missing beam embed detail at building-2</t>
        </is>
      </c>
      <c r="N30" s="60" t="inlineStr"/>
      <c r="O30" s="2" t="n"/>
      <c r="P30" s="2" t="n"/>
      <c r="Q30" s="2" t="n"/>
      <c r="R30" s="2" t="n"/>
    </row>
    <row r="31" ht="30" customHeight="1">
      <c r="A31" s="2" t="n"/>
      <c r="B31" s="40" t="inlineStr">
        <is>
          <t>RFI #025</t>
        </is>
      </c>
      <c r="C31" s="40" t="inlineStr">
        <is>
          <t>Stair-3 stringer member section size at building-2</t>
        </is>
      </c>
      <c r="D31" s="40" t="inlineStr"/>
      <c r="E31" s="43" t="inlineStr">
        <is>
          <t>Closed</t>
        </is>
      </c>
      <c r="F31" s="50" t="inlineStr">
        <is>
          <t>Medium</t>
        </is>
      </c>
      <c r="G31" s="41" t="inlineStr">
        <is>
          <t>GC</t>
        </is>
      </c>
      <c r="H31" s="40" t="inlineStr">
        <is>
          <t>LGE</t>
        </is>
      </c>
      <c r="I31" s="53" t="n">
        <v>46066</v>
      </c>
      <c r="J31" s="53" t="n">
        <v>46104</v>
      </c>
      <c r="K31" s="44" t="inlineStr"/>
      <c r="L31" s="44" t="inlineStr"/>
      <c r="M31" s="59" t="inlineStr">
        <is>
          <t>Stair-3 stringer member section size at building-2</t>
        </is>
      </c>
      <c r="N31" s="59" t="inlineStr"/>
      <c r="O31" s="2" t="n"/>
      <c r="P31" s="2" t="n"/>
      <c r="Q31" s="2" t="n"/>
      <c r="R31" s="2" t="n"/>
    </row>
    <row r="32" ht="30" customHeight="1">
      <c r="A32" s="2" t="n"/>
      <c r="B32" s="46" t="inlineStr">
        <is>
          <t>RFI #026</t>
        </is>
      </c>
      <c r="C32" s="46" t="inlineStr">
        <is>
          <t>Embed stud length</t>
        </is>
      </c>
      <c r="D32" s="46" t="inlineStr"/>
      <c r="E32" s="43" t="inlineStr">
        <is>
          <t>Closed</t>
        </is>
      </c>
      <c r="F32" s="50" t="inlineStr">
        <is>
          <t>Medium</t>
        </is>
      </c>
      <c r="G32" s="47" t="inlineStr">
        <is>
          <t>GC</t>
        </is>
      </c>
      <c r="H32" s="46" t="inlineStr">
        <is>
          <t>LGE</t>
        </is>
      </c>
      <c r="I32" s="54" t="n">
        <v>46066</v>
      </c>
      <c r="J32" s="54" t="n">
        <v>46072</v>
      </c>
      <c r="K32" s="49" t="inlineStr"/>
      <c r="L32" s="49" t="inlineStr"/>
      <c r="M32" s="60" t="inlineStr">
        <is>
          <t>Embed stud length</t>
        </is>
      </c>
      <c r="N32" s="60" t="inlineStr"/>
      <c r="O32" s="2" t="n"/>
      <c r="P32" s="2" t="n"/>
      <c r="Q32" s="2" t="n"/>
      <c r="R32" s="2" t="n"/>
    </row>
    <row r="33" ht="30" customHeight="1">
      <c r="A33" s="2" t="n"/>
      <c r="B33" s="40" t="inlineStr">
        <is>
          <t>RFI #027</t>
        </is>
      </c>
      <c r="C33" s="40" t="inlineStr">
        <is>
          <t>Bottom of deck elevations</t>
        </is>
      </c>
      <c r="D33" s="40" t="inlineStr"/>
      <c r="E33" s="43" t="inlineStr">
        <is>
          <t>Closed</t>
        </is>
      </c>
      <c r="F33" s="50" t="inlineStr">
        <is>
          <t>Medium</t>
        </is>
      </c>
      <c r="G33" s="41" t="inlineStr">
        <is>
          <t>GC</t>
        </is>
      </c>
      <c r="H33" s="40" t="inlineStr">
        <is>
          <t>LGE</t>
        </is>
      </c>
      <c r="I33" s="53" t="n">
        <v>46066</v>
      </c>
      <c r="J33" s="53" t="n">
        <v>46157</v>
      </c>
      <c r="K33" s="44" t="inlineStr"/>
      <c r="L33" s="44" t="inlineStr"/>
      <c r="M33" s="59" t="inlineStr">
        <is>
          <t>Bottom of deck elevations</t>
        </is>
      </c>
      <c r="N33" s="59" t="inlineStr"/>
      <c r="O33" s="2" t="n"/>
      <c r="P33" s="2" t="n"/>
      <c r="Q33" s="2" t="n"/>
      <c r="R33" s="2" t="n"/>
    </row>
    <row r="34" ht="30" customHeight="1">
      <c r="A34" s="2" t="n"/>
      <c r="B34" s="46" t="inlineStr">
        <is>
          <t>RFI #028</t>
        </is>
      </c>
      <c r="C34" s="46" t="inlineStr">
        <is>
          <t>Door opening and platform location in building-2</t>
        </is>
      </c>
      <c r="D34" s="46" t="inlineStr"/>
      <c r="E34" s="43" t="inlineStr">
        <is>
          <t>Closed</t>
        </is>
      </c>
      <c r="F34" s="50" t="inlineStr">
        <is>
          <t>Medium</t>
        </is>
      </c>
      <c r="G34" s="47" t="inlineStr">
        <is>
          <t>GC</t>
        </is>
      </c>
      <c r="H34" s="46" t="inlineStr">
        <is>
          <t>LGE</t>
        </is>
      </c>
      <c r="I34" s="54" t="n">
        <v>46066</v>
      </c>
      <c r="J34" s="54" t="n">
        <v>46072</v>
      </c>
      <c r="K34" s="49" t="inlineStr"/>
      <c r="L34" s="49" t="inlineStr"/>
      <c r="M34" s="60" t="inlineStr">
        <is>
          <t>Door opening and platform location in building-2</t>
        </is>
      </c>
      <c r="N34" s="60" t="inlineStr"/>
      <c r="O34" s="2" t="n"/>
      <c r="P34" s="2" t="n"/>
      <c r="Q34" s="2" t="n"/>
      <c r="R34" s="2" t="n"/>
    </row>
    <row r="35" ht="30" customHeight="1">
      <c r="A35" s="2" t="n"/>
      <c r="B35" s="40" t="inlineStr">
        <is>
          <t>RFI #029</t>
        </is>
      </c>
      <c r="C35" s="40" t="inlineStr">
        <is>
          <t>Cable guardrail post material grade</t>
        </is>
      </c>
      <c r="D35" s="40" t="inlineStr"/>
      <c r="E35" s="43" t="inlineStr">
        <is>
          <t>Closed</t>
        </is>
      </c>
      <c r="F35" s="50" t="inlineStr">
        <is>
          <t>Medium</t>
        </is>
      </c>
      <c r="G35" s="41" t="inlineStr">
        <is>
          <t>GC</t>
        </is>
      </c>
      <c r="H35" s="40" t="inlineStr">
        <is>
          <t>LGE</t>
        </is>
      </c>
      <c r="I35" s="53" t="n">
        <v>46066</v>
      </c>
      <c r="J35" s="53" t="n">
        <v>46148</v>
      </c>
      <c r="K35" s="44" t="inlineStr"/>
      <c r="L35" s="44" t="inlineStr"/>
      <c r="M35" s="59" t="inlineStr">
        <is>
          <t>Cable guardrail post material grade</t>
        </is>
      </c>
      <c r="N35" s="59" t="inlineStr"/>
      <c r="O35" s="2" t="n"/>
      <c r="P35" s="2" t="n"/>
      <c r="Q35" s="2" t="n"/>
      <c r="R35" s="2" t="n"/>
    </row>
    <row r="36" ht="30" customHeight="1">
      <c r="A36" s="2" t="n"/>
      <c r="B36" s="46" t="inlineStr">
        <is>
          <t>RFI #030</t>
        </is>
      </c>
      <c r="C36" s="46" t="inlineStr">
        <is>
          <t>Regarding Stair Requirement</t>
        </is>
      </c>
      <c r="D36" s="46" t="inlineStr"/>
      <c r="E36" s="43" t="inlineStr">
        <is>
          <t>Closed</t>
        </is>
      </c>
      <c r="F36" s="50" t="inlineStr">
        <is>
          <t>Medium</t>
        </is>
      </c>
      <c r="G36" s="47" t="inlineStr">
        <is>
          <t>GC</t>
        </is>
      </c>
      <c r="H36" s="46" t="inlineStr">
        <is>
          <t>LGE</t>
        </is>
      </c>
      <c r="I36" s="54" t="n">
        <v>46066</v>
      </c>
      <c r="J36" s="54" t="n">
        <v>46083</v>
      </c>
      <c r="K36" s="49" t="inlineStr"/>
      <c r="L36" s="49" t="inlineStr"/>
      <c r="M36" s="60" t="inlineStr">
        <is>
          <t>Regarding Stair Requirement</t>
        </is>
      </c>
      <c r="N36" s="60" t="inlineStr"/>
      <c r="O36" s="2" t="n"/>
      <c r="P36" s="2" t="n"/>
      <c r="Q36" s="2" t="n"/>
      <c r="R36" s="2" t="n"/>
    </row>
    <row r="37" ht="30" customHeight="1">
      <c r="A37" s="2" t="n"/>
      <c r="B37" s="40" t="inlineStr">
        <is>
          <t>RFI #031</t>
        </is>
      </c>
      <c r="C37" s="40" t="inlineStr">
        <is>
          <t>Regarding joist bearing angle sizes, joist seat depth &amp; missing joist depth</t>
        </is>
      </c>
      <c r="D37" s="40" t="inlineStr"/>
      <c r="E37" s="43" t="inlineStr">
        <is>
          <t>Closed</t>
        </is>
      </c>
      <c r="F37" s="50" t="inlineStr">
        <is>
          <t>Medium</t>
        </is>
      </c>
      <c r="G37" s="41" t="inlineStr">
        <is>
          <t>GC</t>
        </is>
      </c>
      <c r="H37" s="40" t="inlineStr">
        <is>
          <t>LGE</t>
        </is>
      </c>
      <c r="I37" s="53" t="n">
        <v>46070</v>
      </c>
      <c r="J37" s="53" t="n">
        <v>46083</v>
      </c>
      <c r="K37" s="44" t="inlineStr"/>
      <c r="L37" s="44" t="inlineStr"/>
      <c r="M37" s="59" t="inlineStr">
        <is>
          <t>Regarding joist bearing angle sizes, joist seat depth &amp; missing joist depth</t>
        </is>
      </c>
      <c r="N37" s="59" t="inlineStr"/>
      <c r="O37" s="2" t="n"/>
      <c r="P37" s="2" t="n"/>
      <c r="Q37" s="2" t="n"/>
      <c r="R37" s="2" t="n"/>
    </row>
    <row r="38" ht="30" customHeight="1">
      <c r="A38" s="2" t="n"/>
      <c r="B38" s="46" t="inlineStr">
        <is>
          <t>RFI #032</t>
        </is>
      </c>
      <c r="C38" s="46" t="inlineStr">
        <is>
          <t>Stair 2 Tread, Mid-Landing Arrangement &amp; Guardrail Clarification</t>
        </is>
      </c>
      <c r="D38" s="46" t="inlineStr">
        <is>
          <t>Misc Metals</t>
        </is>
      </c>
      <c r="E38" s="52" t="inlineStr">
        <is>
          <t>Incomplete Response</t>
        </is>
      </c>
      <c r="F38" s="50" t="inlineStr">
        <is>
          <t>Medium</t>
        </is>
      </c>
      <c r="G38" s="47" t="inlineStr">
        <is>
          <t>GC</t>
        </is>
      </c>
      <c r="H38" s="46" t="inlineStr">
        <is>
          <t>LGE</t>
        </is>
      </c>
      <c r="I38" s="54" t="n">
        <v>46070</v>
      </c>
      <c r="J38" s="47" t="inlineStr"/>
      <c r="K38" s="49" t="inlineStr"/>
      <c r="L38" s="49" t="inlineStr"/>
      <c r="M38" s="60" t="inlineStr">
        <is>
          <t>Stair 2 Tread, Mid-Landing Arrangement &amp; Guardrail Clarification</t>
        </is>
      </c>
      <c r="N38" s="60" t="inlineStr"/>
      <c r="O38" s="2" t="n"/>
      <c r="P38" s="2" t="n"/>
      <c r="Q38" s="2" t="n"/>
      <c r="R38" s="2" t="n"/>
    </row>
    <row r="39" ht="30" customHeight="1">
      <c r="A39" s="2" t="n"/>
      <c r="B39" s="40" t="inlineStr">
        <is>
          <t>RFI #033</t>
        </is>
      </c>
      <c r="C39" s="40" t="inlineStr">
        <is>
          <t>Wedge Frame Connection</t>
        </is>
      </c>
      <c r="D39" s="40" t="inlineStr"/>
      <c r="E39" s="43" t="inlineStr">
        <is>
          <t>Closed</t>
        </is>
      </c>
      <c r="F39" s="50" t="inlineStr">
        <is>
          <t>Medium</t>
        </is>
      </c>
      <c r="G39" s="41" t="inlineStr">
        <is>
          <t>GC</t>
        </is>
      </c>
      <c r="H39" s="40" t="inlineStr">
        <is>
          <t>LGE</t>
        </is>
      </c>
      <c r="I39" s="53" t="n">
        <v>46072</v>
      </c>
      <c r="J39" s="53" t="n">
        <v>46153</v>
      </c>
      <c r="K39" s="44" t="inlineStr"/>
      <c r="L39" s="44" t="inlineStr"/>
      <c r="M39" s="59" t="inlineStr">
        <is>
          <t>Wedge Frame Connection</t>
        </is>
      </c>
      <c r="N39" s="59" t="inlineStr"/>
      <c r="O39" s="2" t="n"/>
      <c r="P39" s="2" t="n"/>
      <c r="Q39" s="2" t="n"/>
      <c r="R39" s="2" t="n"/>
    </row>
    <row r="40" ht="30" customHeight="1">
      <c r="A40" s="2" t="n"/>
      <c r="B40" s="46" t="inlineStr">
        <is>
          <t>RFI #034</t>
        </is>
      </c>
      <c r="C40" s="46" t="inlineStr">
        <is>
          <t>Steel Column &amp; Concrete Panel Footing Elevations</t>
        </is>
      </c>
      <c r="D40" s="46" t="inlineStr"/>
      <c r="E40" s="43" t="inlineStr">
        <is>
          <t>Closed</t>
        </is>
      </c>
      <c r="F40" s="50" t="inlineStr">
        <is>
          <t>Medium</t>
        </is>
      </c>
      <c r="G40" s="47" t="inlineStr">
        <is>
          <t>GC</t>
        </is>
      </c>
      <c r="H40" s="46" t="inlineStr">
        <is>
          <t>LGE</t>
        </is>
      </c>
      <c r="I40" s="54" t="n">
        <v>46078</v>
      </c>
      <c r="J40" s="54" t="n">
        <v>46157</v>
      </c>
      <c r="K40" s="49" t="inlineStr"/>
      <c r="L40" s="49" t="inlineStr"/>
      <c r="M40" s="60" t="inlineStr">
        <is>
          <t>Steel Column &amp; Concrete Panel Footing Elevations</t>
        </is>
      </c>
      <c r="N40" s="60" t="inlineStr"/>
      <c r="O40" s="2" t="n"/>
      <c r="P40" s="2" t="n"/>
      <c r="Q40" s="2" t="n"/>
      <c r="R40" s="2" t="n"/>
    </row>
    <row r="41" ht="30" customHeight="1">
      <c r="A41" s="2" t="n"/>
      <c r="B41" s="40" t="inlineStr">
        <is>
          <t>RFI #035</t>
        </is>
      </c>
      <c r="C41" s="40" t="inlineStr">
        <is>
          <t>Regarding DLH Joist Bearing Member Section Size</t>
        </is>
      </c>
      <c r="D41" s="40" t="inlineStr"/>
      <c r="E41" s="43" t="inlineStr">
        <is>
          <t>Closed</t>
        </is>
      </c>
      <c r="F41" s="50" t="inlineStr">
        <is>
          <t>Medium</t>
        </is>
      </c>
      <c r="G41" s="41" t="inlineStr">
        <is>
          <t>GC</t>
        </is>
      </c>
      <c r="H41" s="40" t="inlineStr">
        <is>
          <t>LGE</t>
        </is>
      </c>
      <c r="I41" s="53" t="n">
        <v>46078</v>
      </c>
      <c r="J41" s="53" t="n">
        <v>46157</v>
      </c>
      <c r="K41" s="44" t="inlineStr"/>
      <c r="L41" s="44" t="inlineStr"/>
      <c r="M41" s="59" t="inlineStr">
        <is>
          <t>Regarding DLH Joist Bearing Member Section Size</t>
        </is>
      </c>
      <c r="N41" s="59" t="inlineStr"/>
      <c r="O41" s="2" t="n"/>
      <c r="P41" s="2" t="n"/>
      <c r="Q41" s="2" t="n"/>
      <c r="R41" s="2" t="n"/>
    </row>
    <row r="42" ht="30" customHeight="1">
      <c r="A42" s="2" t="n"/>
      <c r="B42" s="46" t="inlineStr">
        <is>
          <t>RFI #036</t>
        </is>
      </c>
      <c r="C42" s="46" t="inlineStr">
        <is>
          <t>Steel Column &amp; Concrete. Panel Footing Elevation</t>
        </is>
      </c>
      <c r="D42" s="46" t="inlineStr"/>
      <c r="E42" s="43" t="inlineStr">
        <is>
          <t>Closed</t>
        </is>
      </c>
      <c r="F42" s="50" t="inlineStr">
        <is>
          <t>Medium</t>
        </is>
      </c>
      <c r="G42" s="47" t="inlineStr">
        <is>
          <t>GC</t>
        </is>
      </c>
      <c r="H42" s="46" t="inlineStr">
        <is>
          <t>LGE</t>
        </is>
      </c>
      <c r="I42" s="54" t="n">
        <v>46078</v>
      </c>
      <c r="J42" s="54" t="n">
        <v>46085</v>
      </c>
      <c r="K42" s="49" t="inlineStr"/>
      <c r="L42" s="49" t="inlineStr"/>
      <c r="M42" s="60" t="inlineStr">
        <is>
          <t>Steel Column &amp; Concrete. Panel Footing Elevation</t>
        </is>
      </c>
      <c r="N42" s="60" t="inlineStr"/>
      <c r="O42" s="2" t="n"/>
      <c r="P42" s="2" t="n"/>
      <c r="Q42" s="2" t="n"/>
      <c r="R42" s="2" t="n"/>
    </row>
    <row r="43" ht="30" customHeight="1">
      <c r="A43" s="2" t="n"/>
      <c r="B43" s="40" t="inlineStr">
        <is>
          <t>RFI #037</t>
        </is>
      </c>
      <c r="C43" s="40" t="inlineStr">
        <is>
          <t>Regarding Wedge Frame Support Requirement at Building 1 &amp; 2</t>
        </is>
      </c>
      <c r="D43" s="40" t="inlineStr">
        <is>
          <t>Structural</t>
        </is>
      </c>
      <c r="E43" s="43" t="inlineStr">
        <is>
          <t>Closed</t>
        </is>
      </c>
      <c r="F43" s="50" t="inlineStr">
        <is>
          <t>Medium</t>
        </is>
      </c>
      <c r="G43" s="41" t="inlineStr">
        <is>
          <t>GC</t>
        </is>
      </c>
      <c r="H43" s="40" t="inlineStr">
        <is>
          <t>LGE</t>
        </is>
      </c>
      <c r="I43" s="53" t="n">
        <v>46078</v>
      </c>
      <c r="J43" s="41" t="inlineStr"/>
      <c r="K43" s="44" t="inlineStr"/>
      <c r="L43" s="44" t="inlineStr"/>
      <c r="M43" s="59" t="inlineStr">
        <is>
          <t>Regarding Wedge Frame Support Requirement at Building 1 &amp; 2</t>
        </is>
      </c>
      <c r="N43" s="59" t="inlineStr"/>
      <c r="O43" s="2" t="n"/>
      <c r="P43" s="2" t="n"/>
      <c r="Q43" s="2" t="n"/>
      <c r="R43" s="2" t="n"/>
    </row>
    <row r="44" ht="30" customHeight="1">
      <c r="A44" s="2" t="n"/>
      <c r="B44" s="46" t="inlineStr">
        <is>
          <t>RFI #038</t>
        </is>
      </c>
      <c r="C44" s="46" t="inlineStr">
        <is>
          <t>Regarding Joist Bearing Connection at Building-2</t>
        </is>
      </c>
      <c r="D44" s="46" t="inlineStr"/>
      <c r="E44" s="43" t="inlineStr">
        <is>
          <t>Closed</t>
        </is>
      </c>
      <c r="F44" s="50" t="inlineStr">
        <is>
          <t>Medium</t>
        </is>
      </c>
      <c r="G44" s="47" t="inlineStr">
        <is>
          <t>GC</t>
        </is>
      </c>
      <c r="H44" s="46" t="inlineStr">
        <is>
          <t>LGE</t>
        </is>
      </c>
      <c r="I44" s="54" t="n">
        <v>46083</v>
      </c>
      <c r="J44" s="54" t="n">
        <v>46084</v>
      </c>
      <c r="K44" s="49" t="inlineStr"/>
      <c r="L44" s="49" t="inlineStr"/>
      <c r="M44" s="60" t="inlineStr">
        <is>
          <t>Regarding Joist Bearing Connection at Building-2</t>
        </is>
      </c>
      <c r="N44" s="60" t="inlineStr"/>
      <c r="O44" s="2" t="n"/>
      <c r="P44" s="2" t="n"/>
      <c r="Q44" s="2" t="n"/>
      <c r="R44" s="2" t="n"/>
    </row>
    <row r="45" ht="30" customHeight="1">
      <c r="A45" s="2" t="n"/>
      <c r="B45" s="40" t="inlineStr">
        <is>
          <t>RFI #039</t>
        </is>
      </c>
      <c r="C45" s="40" t="inlineStr">
        <is>
          <t>Joist Bearing Connection at Building 2</t>
        </is>
      </c>
      <c r="D45" s="40" t="inlineStr"/>
      <c r="E45" s="43" t="inlineStr">
        <is>
          <t>Closed</t>
        </is>
      </c>
      <c r="F45" s="50" t="inlineStr">
        <is>
          <t>Medium</t>
        </is>
      </c>
      <c r="G45" s="41" t="inlineStr">
        <is>
          <t>GC</t>
        </is>
      </c>
      <c r="H45" s="40" t="inlineStr">
        <is>
          <t>LGE</t>
        </is>
      </c>
      <c r="I45" s="53" t="n">
        <v>46083</v>
      </c>
      <c r="J45" s="53" t="n">
        <v>46101</v>
      </c>
      <c r="K45" s="44" t="inlineStr"/>
      <c r="L45" s="44" t="inlineStr"/>
      <c r="M45" s="59" t="inlineStr">
        <is>
          <t>Joist Bearing Connection at Building 2</t>
        </is>
      </c>
      <c r="N45" s="59" t="inlineStr"/>
      <c r="O45" s="2" t="n"/>
      <c r="P45" s="2" t="n"/>
      <c r="Q45" s="2" t="n"/>
      <c r="R45" s="2" t="n"/>
    </row>
    <row r="46" ht="30" customHeight="1">
      <c r="A46" s="2" t="n"/>
      <c r="B46" s="46" t="inlineStr">
        <is>
          <t>RFI #040</t>
        </is>
      </c>
      <c r="C46" s="46" t="inlineStr">
        <is>
          <t>Regarding Stair-3 mid-landing perimeter landing angle size at building-2</t>
        </is>
      </c>
      <c r="D46" s="46" t="inlineStr"/>
      <c r="E46" s="43" t="inlineStr">
        <is>
          <t>Closed</t>
        </is>
      </c>
      <c r="F46" s="50" t="inlineStr">
        <is>
          <t>Medium</t>
        </is>
      </c>
      <c r="G46" s="47" t="inlineStr">
        <is>
          <t>GC</t>
        </is>
      </c>
      <c r="H46" s="46" t="inlineStr">
        <is>
          <t>LGE</t>
        </is>
      </c>
      <c r="I46" s="54" t="n">
        <v>46086</v>
      </c>
      <c r="J46" s="54" t="n">
        <v>46153</v>
      </c>
      <c r="K46" s="49" t="inlineStr"/>
      <c r="L46" s="49" t="inlineStr"/>
      <c r="M46" s="60" t="inlineStr">
        <is>
          <t>Regarding Stair-3 mid-landing perimeter landing angle size at building-2</t>
        </is>
      </c>
      <c r="N46" s="60" t="inlineStr"/>
      <c r="O46" s="2" t="n"/>
      <c r="P46" s="2" t="n"/>
      <c r="Q46" s="2" t="n"/>
      <c r="R46" s="2" t="n"/>
    </row>
    <row r="47" ht="30" customHeight="1">
      <c r="A47" s="2" t="n"/>
      <c r="B47" s="40" t="inlineStr">
        <is>
          <t>RFI #041</t>
        </is>
      </c>
      <c r="C47" s="40" t="inlineStr">
        <is>
          <t>Regarding Anchor Bolt BFA Post Review Query of Both Building 1 &amp; 2</t>
        </is>
      </c>
      <c r="D47" s="40" t="inlineStr"/>
      <c r="E47" s="43" t="inlineStr">
        <is>
          <t>Closed</t>
        </is>
      </c>
      <c r="F47" s="50" t="inlineStr">
        <is>
          <t>Medium</t>
        </is>
      </c>
      <c r="G47" s="41" t="inlineStr">
        <is>
          <t>GC</t>
        </is>
      </c>
      <c r="H47" s="40" t="inlineStr">
        <is>
          <t>LGE</t>
        </is>
      </c>
      <c r="I47" s="53" t="n">
        <v>46091</v>
      </c>
      <c r="J47" s="53" t="n">
        <v>46101</v>
      </c>
      <c r="K47" s="44" t="inlineStr"/>
      <c r="L47" s="44" t="inlineStr"/>
      <c r="M47" s="59" t="inlineStr">
        <is>
          <t>Regarding Anchor Bolt BFA Post Review Query of Both Building 1 &amp; 2</t>
        </is>
      </c>
      <c r="N47" s="59" t="inlineStr"/>
      <c r="O47" s="2" t="n"/>
      <c r="P47" s="2" t="n"/>
      <c r="Q47" s="2" t="n"/>
      <c r="R47" s="2" t="n"/>
    </row>
    <row r="48" ht="30" customHeight="1">
      <c r="A48" s="2" t="n"/>
      <c r="B48" s="46" t="inlineStr">
        <is>
          <t>RFI #043</t>
        </is>
      </c>
      <c r="C48" s="46" t="inlineStr">
        <is>
          <t>Regarding adjustmentrotation of ledger,joist &amp; beam embed at future panel opening</t>
        </is>
      </c>
      <c r="D48" s="46" t="inlineStr"/>
      <c r="E48" s="43" t="inlineStr">
        <is>
          <t>Closed</t>
        </is>
      </c>
      <c r="F48" s="50" t="inlineStr">
        <is>
          <t>Medium</t>
        </is>
      </c>
      <c r="G48" s="47" t="inlineStr">
        <is>
          <t>GC</t>
        </is>
      </c>
      <c r="H48" s="46" t="inlineStr">
        <is>
          <t>LGE</t>
        </is>
      </c>
      <c r="I48" s="54" t="n">
        <v>46091</v>
      </c>
      <c r="J48" s="54" t="n">
        <v>46157</v>
      </c>
      <c r="K48" s="49" t="inlineStr"/>
      <c r="L48" s="49" t="inlineStr"/>
      <c r="M48" s="60" t="inlineStr">
        <is>
          <t>Regarding adjustmentrotation of ledger,joist &amp; beam embed at future panel opening</t>
        </is>
      </c>
      <c r="N48" s="60" t="inlineStr"/>
      <c r="O48" s="2" t="n"/>
      <c r="P48" s="2" t="n"/>
      <c r="Q48" s="2" t="n"/>
      <c r="R48" s="2" t="n"/>
    </row>
    <row r="49" ht="30" customHeight="1">
      <c r="A49" s="2" t="n"/>
      <c r="B49" s="40" t="inlineStr">
        <is>
          <t>RFI #044</t>
        </is>
      </c>
      <c r="C49" s="40" t="inlineStr">
        <is>
          <t>Regarding Door Jamb &amp; Door Guard Connections at Both Buildings 1 &amp; 2</t>
        </is>
      </c>
      <c r="D49" s="40" t="inlineStr"/>
      <c r="E49" s="43" t="inlineStr">
        <is>
          <t>Closed</t>
        </is>
      </c>
      <c r="F49" s="50" t="inlineStr">
        <is>
          <t>Medium</t>
        </is>
      </c>
      <c r="G49" s="41" t="inlineStr">
        <is>
          <t>GC</t>
        </is>
      </c>
      <c r="H49" s="40" t="inlineStr">
        <is>
          <t>LGE</t>
        </is>
      </c>
      <c r="I49" s="53" t="n">
        <v>46105</v>
      </c>
      <c r="J49" s="53" t="n">
        <v>46148</v>
      </c>
      <c r="K49" s="44" t="inlineStr"/>
      <c r="L49" s="44" t="inlineStr"/>
      <c r="M49" s="59" t="inlineStr">
        <is>
          <t>Regarding Door Jamb &amp; Door Guard Connections at Both Buildings 1 &amp; 2</t>
        </is>
      </c>
      <c r="N49" s="59" t="inlineStr"/>
      <c r="O49" s="2" t="n"/>
      <c r="P49" s="2" t="n"/>
      <c r="Q49" s="2" t="n"/>
      <c r="R49" s="2" t="n"/>
    </row>
    <row r="50" ht="30" customHeight="1">
      <c r="A50" s="2" t="n"/>
      <c r="B50" s="46" t="inlineStr">
        <is>
          <t>RFI #045</t>
        </is>
      </c>
      <c r="C50" s="46" t="inlineStr">
        <is>
          <t>Grout Thickness of Section 5R03 of Footing Drawing</t>
        </is>
      </c>
      <c r="D50" s="46" t="inlineStr"/>
      <c r="E50" s="43" t="inlineStr">
        <is>
          <t>Closed</t>
        </is>
      </c>
      <c r="F50" s="50" t="inlineStr">
        <is>
          <t>Medium</t>
        </is>
      </c>
      <c r="G50" s="47" t="inlineStr">
        <is>
          <t>GC</t>
        </is>
      </c>
      <c r="H50" s="46" t="inlineStr">
        <is>
          <t>LGE</t>
        </is>
      </c>
      <c r="I50" s="54" t="n">
        <v>46115</v>
      </c>
      <c r="J50" s="54" t="n">
        <v>46125</v>
      </c>
      <c r="K50" s="49" t="inlineStr"/>
      <c r="L50" s="49" t="inlineStr"/>
      <c r="M50" s="60" t="inlineStr">
        <is>
          <t>Grout Thickness of Section 5R03 of Footing Drawing</t>
        </is>
      </c>
      <c r="N50" s="60" t="inlineStr"/>
      <c r="O50" s="2" t="n"/>
      <c r="P50" s="2" t="n"/>
      <c r="Q50" s="2" t="n"/>
      <c r="R50" s="2" t="n"/>
    </row>
    <row r="51" ht="30" customHeight="1">
      <c r="A51" s="2" t="n"/>
      <c r="B51" s="40" t="inlineStr">
        <is>
          <t>RFI #046</t>
        </is>
      </c>
      <c r="C51" s="40" t="inlineStr">
        <is>
          <t>Ladder Mid-Landing at Hanger Building 1 &amp; 2 -</t>
        </is>
      </c>
      <c r="D51" s="40" t="inlineStr">
        <is>
          <t>Structural</t>
        </is>
      </c>
      <c r="E51" s="43" t="inlineStr">
        <is>
          <t>Closed</t>
        </is>
      </c>
      <c r="F51" s="50" t="inlineStr">
        <is>
          <t>Medium</t>
        </is>
      </c>
      <c r="G51" s="41" t="inlineStr">
        <is>
          <t>GC</t>
        </is>
      </c>
      <c r="H51" s="40" t="inlineStr">
        <is>
          <t>LGE</t>
        </is>
      </c>
      <c r="I51" s="53" t="n">
        <v>46119</v>
      </c>
      <c r="J51" s="41" t="inlineStr"/>
      <c r="K51" s="44" t="inlineStr"/>
      <c r="L51" s="44" t="inlineStr">
        <is>
          <t>✓</t>
        </is>
      </c>
      <c r="M51" s="59" t="inlineStr">
        <is>
          <t>Ladder Mid-Landing at Hanger Building 1 &amp; 2 -</t>
        </is>
      </c>
      <c r="N51" s="59" t="inlineStr"/>
      <c r="O51" s="2" t="n"/>
      <c r="P51" s="2" t="n"/>
      <c r="Q51" s="2" t="n"/>
      <c r="R51" s="2" t="n"/>
    </row>
    <row r="52" ht="30" customHeight="1">
      <c r="A52" s="2" t="n"/>
      <c r="B52" s="46" t="inlineStr">
        <is>
          <t>RFI #047</t>
        </is>
      </c>
      <c r="C52" s="46" t="inlineStr">
        <is>
          <t>Regarding Panel embed &amp; panel misc. BFA review query of building-2</t>
        </is>
      </c>
      <c r="D52" s="46" t="inlineStr"/>
      <c r="E52" s="43" t="inlineStr">
        <is>
          <t>Closed</t>
        </is>
      </c>
      <c r="F52" s="50" t="inlineStr">
        <is>
          <t>Medium</t>
        </is>
      </c>
      <c r="G52" s="47" t="inlineStr">
        <is>
          <t>GC</t>
        </is>
      </c>
      <c r="H52" s="46" t="inlineStr">
        <is>
          <t>LGE</t>
        </is>
      </c>
      <c r="I52" s="54" t="n">
        <v>46122</v>
      </c>
      <c r="J52" s="54" t="n">
        <v>46150</v>
      </c>
      <c r="K52" s="49" t="inlineStr"/>
      <c r="L52" s="49" t="inlineStr"/>
      <c r="M52" s="60" t="inlineStr">
        <is>
          <t>Regarding Panel embed &amp; panel misc. BFA review query of building-2</t>
        </is>
      </c>
      <c r="N52" s="60" t="inlineStr"/>
      <c r="O52" s="2" t="n"/>
      <c r="P52" s="2" t="n"/>
      <c r="Q52" s="2" t="n"/>
      <c r="R52" s="2" t="n"/>
    </row>
    <row r="53" ht="30" customHeight="1">
      <c r="A53" s="2" t="n"/>
      <c r="B53" s="40" t="inlineStr">
        <is>
          <t>RFI #048</t>
        </is>
      </c>
      <c r="C53" s="40" t="inlineStr">
        <is>
          <t>Regarding main steel BFA post review query of building-1</t>
        </is>
      </c>
      <c r="D53" s="40" t="inlineStr">
        <is>
          <t>Structural</t>
        </is>
      </c>
      <c r="E53" s="52" t="inlineStr">
        <is>
          <t>Incomplete Response</t>
        </is>
      </c>
      <c r="F53" s="50" t="inlineStr">
        <is>
          <t>Medium</t>
        </is>
      </c>
      <c r="G53" s="41" t="inlineStr">
        <is>
          <t>GC</t>
        </is>
      </c>
      <c r="H53" s="40" t="inlineStr">
        <is>
          <t>LGE</t>
        </is>
      </c>
      <c r="I53" s="53" t="n">
        <v>46122</v>
      </c>
      <c r="J53" s="53" t="n">
        <v>46139</v>
      </c>
      <c r="K53" s="44" t="inlineStr"/>
      <c r="L53" s="44" t="inlineStr"/>
      <c r="M53" s="59" t="inlineStr">
        <is>
          <t>Regarding main steel BFA post review query of building-1</t>
        </is>
      </c>
      <c r="N53" s="59" t="inlineStr"/>
      <c r="O53" s="2" t="n"/>
      <c r="P53" s="2" t="n"/>
      <c r="Q53" s="2" t="n"/>
      <c r="R53" s="2" t="n"/>
    </row>
    <row r="54" ht="30" customHeight="1">
      <c r="A54" s="2" t="n"/>
      <c r="B54" s="46" t="inlineStr">
        <is>
          <t>RFI #049</t>
        </is>
      </c>
      <c r="C54" s="46" t="inlineStr">
        <is>
          <t>Items Requiring EOR _LGE Clarification</t>
        </is>
      </c>
      <c r="D54" s="46" t="inlineStr"/>
      <c r="E54" s="43" t="inlineStr">
        <is>
          <t>Closed</t>
        </is>
      </c>
      <c r="F54" s="50" t="inlineStr">
        <is>
          <t>Medium</t>
        </is>
      </c>
      <c r="G54" s="47" t="inlineStr">
        <is>
          <t>GC</t>
        </is>
      </c>
      <c r="H54" s="46" t="inlineStr">
        <is>
          <t>LGE</t>
        </is>
      </c>
      <c r="I54" s="54" t="n">
        <v>46126</v>
      </c>
      <c r="J54" s="54" t="n">
        <v>46148</v>
      </c>
      <c r="K54" s="49" t="inlineStr"/>
      <c r="L54" s="49" t="inlineStr"/>
      <c r="M54" s="60" t="inlineStr">
        <is>
          <t>Items Requiring EOR _LGE Clarification</t>
        </is>
      </c>
      <c r="N54" s="60" t="inlineStr"/>
      <c r="O54" s="2" t="n"/>
      <c r="P54" s="2" t="n"/>
      <c r="Q54" s="2" t="n"/>
      <c r="R54" s="2" t="n"/>
    </row>
    <row r="55" ht="30" customHeight="1">
      <c r="A55" s="2" t="n"/>
      <c r="B55" s="40" t="inlineStr">
        <is>
          <t>RFI #050</t>
        </is>
      </c>
      <c r="C55" s="40" t="inlineStr">
        <is>
          <t>Regarding main steel BFA post review query of building-2</t>
        </is>
      </c>
      <c r="D55" s="40" t="inlineStr"/>
      <c r="E55" s="43" t="inlineStr">
        <is>
          <t>Closed</t>
        </is>
      </c>
      <c r="F55" s="50" t="inlineStr">
        <is>
          <t>Medium</t>
        </is>
      </c>
      <c r="G55" s="41" t="inlineStr">
        <is>
          <t>GC</t>
        </is>
      </c>
      <c r="H55" s="40" t="inlineStr">
        <is>
          <t>LGE</t>
        </is>
      </c>
      <c r="I55" s="53" t="n">
        <v>46129</v>
      </c>
      <c r="J55" s="53" t="n">
        <v>46152</v>
      </c>
      <c r="K55" s="44" t="inlineStr"/>
      <c r="L55" s="44" t="inlineStr"/>
      <c r="M55" s="59" t="inlineStr">
        <is>
          <t>Regarding main steel BFA post review query of building-2</t>
        </is>
      </c>
      <c r="N55" s="59" t="inlineStr"/>
      <c r="O55" s="2" t="n"/>
      <c r="P55" s="2" t="n"/>
      <c r="Q55" s="2" t="n"/>
      <c r="R55" s="2" t="n"/>
    </row>
    <row r="56" ht="30" customHeight="1">
      <c r="A56" s="2" t="n"/>
      <c r="B56" s="46" t="inlineStr">
        <is>
          <t>RFI #051</t>
        </is>
      </c>
      <c r="C56" s="46" t="inlineStr">
        <is>
          <t>Connection Between Panel 22a and 22b Bldg 1</t>
        </is>
      </c>
      <c r="D56" s="46" t="inlineStr"/>
      <c r="E56" s="43" t="inlineStr">
        <is>
          <t>Closed</t>
        </is>
      </c>
      <c r="F56" s="50" t="inlineStr">
        <is>
          <t>Medium</t>
        </is>
      </c>
      <c r="G56" s="47" t="inlineStr">
        <is>
          <t>GC</t>
        </is>
      </c>
      <c r="H56" s="46" t="inlineStr">
        <is>
          <t>LGE</t>
        </is>
      </c>
      <c r="I56" s="54" t="n">
        <v>46129</v>
      </c>
      <c r="J56" s="54" t="n">
        <v>46139</v>
      </c>
      <c r="K56" s="49" t="inlineStr"/>
      <c r="L56" s="49" t="inlineStr"/>
      <c r="M56" s="60" t="inlineStr">
        <is>
          <t>Connection Between Panel 22a and 22b Bldg 1</t>
        </is>
      </c>
      <c r="N56" s="60" t="inlineStr"/>
      <c r="O56" s="2" t="n"/>
      <c r="P56" s="2" t="n"/>
      <c r="Q56" s="2" t="n"/>
      <c r="R56" s="2" t="n"/>
    </row>
    <row r="57" ht="30" customHeight="1">
      <c r="A57" s="2" t="n"/>
      <c r="B57" s="40" t="inlineStr">
        <is>
          <t>RFI #052</t>
        </is>
      </c>
      <c r="C57" s="40" t="inlineStr">
        <is>
          <t>Regarding Ledger Connection Between Panel-22A &amp; 22B</t>
        </is>
      </c>
      <c r="D57" s="40" t="inlineStr">
        <is>
          <t>Structural</t>
        </is>
      </c>
      <c r="E57" s="43" t="inlineStr">
        <is>
          <t>Closed</t>
        </is>
      </c>
      <c r="F57" s="50" t="inlineStr">
        <is>
          <t>Medium</t>
        </is>
      </c>
      <c r="G57" s="41" t="inlineStr">
        <is>
          <t>GC</t>
        </is>
      </c>
      <c r="H57" s="40" t="inlineStr">
        <is>
          <t>LGE</t>
        </is>
      </c>
      <c r="I57" s="53" t="n">
        <v>46143</v>
      </c>
      <c r="J57" s="53" t="n">
        <v>46153</v>
      </c>
      <c r="K57" s="44" t="inlineStr"/>
      <c r="L57" s="44" t="inlineStr">
        <is>
          <t>✓</t>
        </is>
      </c>
      <c r="M57" s="59" t="inlineStr">
        <is>
          <t>Regarding Ledger Connection Between Panel-22A &amp; 22B</t>
        </is>
      </c>
      <c r="N57" s="59" t="inlineStr"/>
      <c r="O57" s="2" t="n"/>
      <c r="P57" s="2" t="n"/>
      <c r="Q57" s="2" t="n"/>
      <c r="R57" s="2" t="n"/>
    </row>
    <row r="58" ht="30" customHeight="1">
      <c r="A58" s="2" t="n"/>
      <c r="B58" s="46" t="inlineStr">
        <is>
          <t>RFI #053</t>
        </is>
      </c>
      <c r="C58" s="46" t="inlineStr">
        <is>
          <t>Door Jamb Post Install</t>
        </is>
      </c>
      <c r="D58" s="46" t="inlineStr">
        <is>
          <t>Structural</t>
        </is>
      </c>
      <c r="E58" s="51" t="inlineStr">
        <is>
          <t>Under Review</t>
        </is>
      </c>
      <c r="F58" s="50" t="inlineStr">
        <is>
          <t>Medium</t>
        </is>
      </c>
      <c r="G58" s="47" t="inlineStr">
        <is>
          <t>GC</t>
        </is>
      </c>
      <c r="H58" s="46" t="inlineStr">
        <is>
          <t>LGE</t>
        </is>
      </c>
      <c r="I58" s="54" t="n">
        <v>46150</v>
      </c>
      <c r="J58" s="54" t="n">
        <v>46153</v>
      </c>
      <c r="K58" s="49" t="inlineStr"/>
      <c r="L58" s="49" t="inlineStr"/>
      <c r="M58" s="60" t="inlineStr">
        <is>
          <t>Door Jamb Post Install</t>
        </is>
      </c>
      <c r="N58" s="60" t="inlineStr"/>
      <c r="O58" s="2" t="n"/>
      <c r="P58" s="2" t="n"/>
      <c r="Q58" s="2" t="n"/>
      <c r="R58" s="2" t="n"/>
    </row>
    <row r="59" ht="30" customHeight="1">
      <c r="A59" s="2" t="n"/>
      <c r="B59" s="40" t="inlineStr">
        <is>
          <t>RFI #054</t>
        </is>
      </c>
      <c r="C59" s="40" t="inlineStr">
        <is>
          <t>Regarding Stair 1 Post BFA Query</t>
        </is>
      </c>
      <c r="D59" s="40" t="inlineStr">
        <is>
          <t>Structural</t>
        </is>
      </c>
      <c r="E59" s="43" t="inlineStr">
        <is>
          <t>Closed</t>
        </is>
      </c>
      <c r="F59" s="50" t="inlineStr">
        <is>
          <t>Medium</t>
        </is>
      </c>
      <c r="G59" s="41" t="inlineStr">
        <is>
          <t>GC</t>
        </is>
      </c>
      <c r="H59" s="40" t="inlineStr">
        <is>
          <t>LGE</t>
        </is>
      </c>
      <c r="I59" s="53" t="n">
        <v>46161</v>
      </c>
      <c r="J59" s="53" t="n">
        <v>46160</v>
      </c>
      <c r="K59" s="44" t="inlineStr"/>
      <c r="L59" s="44" t="inlineStr"/>
      <c r="M59" s="59" t="inlineStr">
        <is>
          <t>NOTE#1:- As per the BFA comment on Note #1, we understand that the stair-to-south wall 
                 dimension is 1'-5 7/8", the stair-to-north wall dimension is 8", and the total stair width 
                 (outer to outer) is 4'-0".
                 However, based on the BFA comment on Note #2, the stair clear width of 3'-7" has  
                 been confirmed. Based on this clarification, we are considering the stair outer-to-
                 outer width to be 4'-1" and revising the stair-to-north wall dimension to 7" instead of 
                 8".
                 Please see t</t>
        </is>
      </c>
      <c r="N59" s="59" t="inlineStr">
        <is>
          <t>1. Please proceed, stair is code compliant.
2. Please proceed with design intent, no substitution unless explicitly requested from design team.</t>
        </is>
      </c>
      <c r="O59" s="2" t="n"/>
      <c r="P59" s="2" t="n"/>
      <c r="Q59" s="2" t="n"/>
      <c r="R59" s="2" t="n"/>
    </row>
    <row r="60" ht="30" customHeight="1">
      <c r="A60" s="2" t="n"/>
      <c r="B60" s="46" t="inlineStr">
        <is>
          <t>RFI #055</t>
        </is>
      </c>
      <c r="C60" s="46" t="inlineStr">
        <is>
          <t>Regarding post install anchor at building-2.</t>
        </is>
      </c>
      <c r="D60" s="46" t="inlineStr">
        <is>
          <t>Structural</t>
        </is>
      </c>
      <c r="E60" s="43" t="inlineStr">
        <is>
          <t>Closed</t>
        </is>
      </c>
      <c r="F60" s="50" t="inlineStr">
        <is>
          <t>Medium</t>
        </is>
      </c>
      <c r="G60" s="47" t="inlineStr">
        <is>
          <t>GC</t>
        </is>
      </c>
      <c r="H60" s="46" t="inlineStr">
        <is>
          <t>LGE</t>
        </is>
      </c>
      <c r="I60" s="54" t="n">
        <v>46164</v>
      </c>
      <c r="J60" s="54" t="n">
        <v>46165</v>
      </c>
      <c r="K60" s="49" t="inlineStr"/>
      <c r="L60" s="49" t="inlineStr"/>
      <c r="M60" s="60" t="inlineStr">
        <is>
          <t>NOTE#1:- As per the AOR snap, we have kept a slab edge around the future stair opening. Due 
                 to this, we are required to shift the column at 2'-4" from Grid A.1 towards Grid-B 
                 (refer  to Snap-1). Please note that this column is extending up to the roof level.
                 Since the anchor bolts have already been cast, we will need to provide a post-
                 installed anchor arrangement at this location. The proposed arrangement for the post-
                 installed anchors is shown in Snap-2 &amp; 3. 
                 Please confirm if this is a</t>
        </is>
      </c>
      <c r="N60" s="60" t="inlineStr">
        <is>
          <t>Anchor bolts have not been installed</t>
        </is>
      </c>
      <c r="O60" s="2" t="n"/>
      <c r="P60" s="2" t="n"/>
      <c r="Q60" s="2" t="n"/>
      <c r="R60" s="2" t="n"/>
    </row>
    <row r="61" ht="30" customHeight="1">
      <c r="A61" s="2" t="n"/>
      <c r="B61" s="40" t="inlineStr">
        <is>
          <t>RFI #056</t>
        </is>
      </c>
      <c r="C61" s="40" t="inlineStr">
        <is>
          <t>Regarding Wedge Canopy Frame at Corners of Building</t>
        </is>
      </c>
      <c r="D61" s="40" t="inlineStr">
        <is>
          <t>Structural</t>
        </is>
      </c>
      <c r="E61" s="43" t="inlineStr">
        <is>
          <t>Closed</t>
        </is>
      </c>
      <c r="F61" s="50" t="inlineStr">
        <is>
          <t>Medium</t>
        </is>
      </c>
      <c r="G61" s="41" t="inlineStr">
        <is>
          <t>GC</t>
        </is>
      </c>
      <c r="H61" s="40" t="inlineStr">
        <is>
          <t>LGE</t>
        </is>
      </c>
      <c r="I61" s="53" t="n">
        <v>46168</v>
      </c>
      <c r="J61" s="41" t="inlineStr"/>
      <c r="K61" s="44" t="inlineStr"/>
      <c r="L61" s="44" t="inlineStr">
        <is>
          <t>✓</t>
        </is>
      </c>
      <c r="M61" s="59" t="inlineStr">
        <is>
          <t>NOTE#1:- After incorporating the BFA comments, the wedge canopy arrangement at the 
                 clouded corner-1 &amp; corner-2 is appearing as shown in the attached references.
                 A. For corner-1 the arrangement shown in Snap-1 is for Level-2, and 
                     the arrangement shown in Snap-2 is for the lower roof level.
                 B. For corner-2 the arrangement shown in Snap-3 is for Level-2, and 
                     the arrangement shown in Snap-4 is for the lower roof level.
                  Please review and confirm whether the proposed arrangement is ac</t>
        </is>
      </c>
      <c r="N61" s="59" t="inlineStr"/>
      <c r="O61" s="2" t="n"/>
      <c r="P61" s="2" t="n"/>
      <c r="Q61" s="2" t="n"/>
      <c r="R61" s="2" t="n"/>
    </row>
    <row r="62" ht="30" customHeight="1">
      <c r="A62" s="2" t="n"/>
      <c r="B62" s="46" t="inlineStr">
        <is>
          <t>RFI #057</t>
        </is>
      </c>
      <c r="C62" s="46" t="inlineStr">
        <is>
          <t>Regarding Stabilizer Plate Angle for Joists</t>
        </is>
      </c>
      <c r="D62" s="46" t="inlineStr">
        <is>
          <t>Structural</t>
        </is>
      </c>
      <c r="E62" s="43" t="inlineStr">
        <is>
          <t>Closed</t>
        </is>
      </c>
      <c r="F62" s="50" t="inlineStr">
        <is>
          <t>Medium</t>
        </is>
      </c>
      <c r="G62" s="47" t="inlineStr">
        <is>
          <t>GC</t>
        </is>
      </c>
      <c r="H62" s="46" t="inlineStr">
        <is>
          <t>LGE</t>
        </is>
      </c>
      <c r="I62" s="54" t="n">
        <v>46168</v>
      </c>
      <c r="J62" s="54" t="n">
        <v>46169</v>
      </c>
      <c r="K62" s="49" t="inlineStr"/>
      <c r="L62" s="49" t="inlineStr">
        <is>
          <t>✓</t>
        </is>
      </c>
      <c r="M62" s="60" t="inlineStr">
        <is>
          <t>NOTE#1:- There is a conflict between the joist drawing and the design drawing:
                 A. In Section 13/S105 of the design drawing, an L3x3x1/4 angle is provided to  
                     stabilize the bottom leg of the joist.
                 B. However, in Sections 5 and 9 of the joist drawing, a stabilizer plate is specified.
                 Currently, we are following the joist drawing and providing a stabilizer plate 
                 (PL 3/4" x 6" x 6").
                 Please confirm whether we are proceeding correctly or advise if any changes are 
                 requir</t>
        </is>
      </c>
      <c r="N62" s="60" t="inlineStr">
        <is>
          <t>Proceed with 6x6x1/4"</t>
        </is>
      </c>
      <c r="O62" s="2" t="n"/>
      <c r="P62" s="2" t="n"/>
      <c r="Q62" s="2" t="n"/>
      <c r="R62" s="2" t="n"/>
    </row>
    <row r="63" ht="30" customHeight="1">
      <c r="A63" s="2" t="n"/>
      <c r="B63" s="40" t="inlineStr">
        <is>
          <t>RFI #058</t>
        </is>
      </c>
      <c r="C63" s="40" t="inlineStr">
        <is>
          <t>Column Shift for Self-Closing Gate Clearance</t>
        </is>
      </c>
      <c r="D63" s="40" t="inlineStr">
        <is>
          <t>Structural</t>
        </is>
      </c>
      <c r="E63" s="43" t="inlineStr">
        <is>
          <t>Closed</t>
        </is>
      </c>
      <c r="F63" s="50" t="inlineStr">
        <is>
          <t>Medium</t>
        </is>
      </c>
      <c r="G63" s="41" t="inlineStr">
        <is>
          <t>GC</t>
        </is>
      </c>
      <c r="H63" s="40" t="inlineStr">
        <is>
          <t>LGE</t>
        </is>
      </c>
      <c r="I63" s="53" t="n">
        <v>46189</v>
      </c>
      <c r="J63" s="53" t="n">
        <v>46189</v>
      </c>
      <c r="K63" s="44" t="inlineStr"/>
      <c r="L63" s="44" t="inlineStr">
        <is>
          <t>✓</t>
        </is>
      </c>
      <c r="M63" s="59" t="inlineStr">
        <is>
          <t>Per the RFI #45 response, the roof ladder height exceeds 30'-0", requiring the second-floor balcony to serve as an intermediate landing with a 3'-0" self-closing gate at the guardrail. To create the required gate opening at the Building-1 balcony, the column must shift north as shown on Sheet 601E123.</t>
        </is>
      </c>
      <c r="N63" s="59" t="inlineStr"/>
      <c r="O63" s="2" t="n"/>
      <c r="P63" s="2" t="n"/>
      <c r="Q63" s="2" t="n"/>
      <c r="R63" s="2" t="n"/>
    </row>
    <row r="64" ht="30" customHeight="1">
      <c r="A64" s="2" t="n"/>
      <c r="B64" s="46" t="inlineStr">
        <is>
          <t>RFI #059</t>
        </is>
      </c>
      <c r="C64" s="46" t="inlineStr">
        <is>
          <t>Joist Splice Connection Bolts</t>
        </is>
      </c>
      <c r="D64" s="46" t="inlineStr">
        <is>
          <t>Connections</t>
        </is>
      </c>
      <c r="E64" s="43" t="inlineStr">
        <is>
          <t>Closed</t>
        </is>
      </c>
      <c r="F64" s="50" t="inlineStr">
        <is>
          <t>Medium</t>
        </is>
      </c>
      <c r="G64" s="47" t="inlineStr">
        <is>
          <t>GC</t>
        </is>
      </c>
      <c r="H64" s="46" t="inlineStr">
        <is>
          <t>New Mill</t>
        </is>
      </c>
      <c r="I64" s="54" t="n">
        <v>46191</v>
      </c>
      <c r="J64" s="54" t="n">
        <v>46192</v>
      </c>
      <c r="K64" s="49" t="inlineStr">
        <is>
          <t>✓</t>
        </is>
      </c>
      <c r="L64" s="49" t="inlineStr"/>
      <c r="M64" s="60" t="inlineStr">
        <is>
          <t>IFC drawings detail shows joist splice connection made with A490 hex head bolts.
S&amp;H Steel requests to furnish and install tension control (TC) bolts at all bolted joists and joist girder field
splice connections, in lieu of standard hex structural bolts.S&amp;H proposes the following assembly:
- ASTM Grade F2280 (TC, A490-equivalent).
Please confirm that TC bolts are acceptable for the field splice connection.
Once a response has been received from New Mill, a copy will be forwarded to the GC/AOR/EOR for record.</t>
        </is>
      </c>
      <c r="N64" s="60" t="inlineStr">
        <is>
          <t>Proceed with TC</t>
        </is>
      </c>
      <c r="O64" s="2" t="n"/>
      <c r="P64" s="2" t="n"/>
      <c r="Q64" s="2" t="n"/>
      <c r="R64" s="2" t="n"/>
    </row>
    <row r="65" ht="30" customHeight="1">
      <c r="A65" s="2" t="n"/>
      <c r="B65" s="40" t="inlineStr">
        <is>
          <t>RFI #060</t>
        </is>
      </c>
      <c r="C65" s="40" t="inlineStr">
        <is>
          <t>Regarding hangar door post brace support arrangement at building-2.</t>
        </is>
      </c>
      <c r="D65" s="40" t="inlineStr">
        <is>
          <t>Structural</t>
        </is>
      </c>
      <c r="E65" s="51" t="inlineStr">
        <is>
          <t>Under Review</t>
        </is>
      </c>
      <c r="F65" s="50" t="inlineStr">
        <is>
          <t>Medium</t>
        </is>
      </c>
      <c r="G65" s="41" t="inlineStr">
        <is>
          <t>GC</t>
        </is>
      </c>
      <c r="H65" s="40" t="inlineStr">
        <is>
          <t>LGE</t>
        </is>
      </c>
      <c r="I65" s="53" t="n">
        <v>46191</v>
      </c>
      <c r="J65" s="41" t="inlineStr"/>
      <c r="K65" s="44" t="inlineStr"/>
      <c r="L65" s="44" t="inlineStr">
        <is>
          <t>✓</t>
        </is>
      </c>
      <c r="M65" s="59" t="inlineStr">
        <is>
          <t>NOTE#1:- At the clouded location, the angle brace arrangement intended to support the hanger
                 post is not feasible over the joist, because the joist is terminating before reaching the
                 face of the return panel.
                Therefore, we have provided the brace support arrangement directly on the concrete
                panel using a 1/2" thick plate with TITEN HD screw anchor, as shown in Snap-1 and
                Snap-2.
                Please confirm whether this connection, as shown in Snap-1 and Snap-2, is
                acceptable. If not, please sug</t>
        </is>
      </c>
      <c r="N65" s="59" t="inlineStr"/>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sheetData>
  <autoFilter ref="B6:N65"/>
  <mergeCells count="4">
    <mergeCell ref="B3:P3"/>
    <mergeCell ref="A1:R1"/>
    <mergeCell ref="B2:P2"/>
    <mergeCell ref="B4:P4"/>
  </mergeCells>
  <pageMargins left="0.75" right="0.75" top="1" bottom="1" header="0.5" footer="0.5"/>
</worksheet>
</file>

<file path=xl/worksheets/sheet8.xml><?xml version="1.0" encoding="utf-8"?>
<worksheet xmlns="http://schemas.openxmlformats.org/spreadsheetml/2006/main">
  <sheetPr>
    <tabColor rgb="001F2937"/>
    <outlinePr summaryBelow="1" summaryRight="1"/>
    <pageSetUpPr/>
  </sheetPr>
  <dimension ref="A1:N8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34" customWidth="1" min="3" max="3"/>
    <col width="12" customWidth="1" min="4" max="4"/>
    <col width="15" customWidth="1" min="5" max="5"/>
    <col width="13" customWidth="1" min="6" max="6"/>
    <col width="9" customWidth="1" min="7" max="7"/>
    <col width="14" customWidth="1" min="8" max="8"/>
    <col width="11" customWidth="1" min="9" max="9"/>
    <col width="11" customWidth="1" min="10" max="10"/>
    <col width="12" customWidth="1" min="11" max="11"/>
    <col width="9" customWidth="1" min="12" max="12"/>
    <col width="2.4" customWidth="1" min="13" max="13"/>
    <col width="2.4" customWidth="1" min="14" max="14"/>
  </cols>
  <sheetData>
    <row r="1">
      <c r="A1" s="1" t="n"/>
      <c r="B1" s="2" t="n"/>
      <c r="C1" s="2" t="n"/>
      <c r="D1" s="2" t="n"/>
      <c r="E1" s="2" t="n"/>
      <c r="F1" s="2" t="n"/>
      <c r="G1" s="2" t="n"/>
      <c r="H1" s="2" t="n"/>
      <c r="I1" s="2" t="n"/>
      <c r="J1" s="2" t="n"/>
      <c r="K1" s="2" t="n"/>
      <c r="L1" s="2" t="n"/>
      <c r="M1" s="2" t="n"/>
      <c r="N1" s="2" t="n"/>
    </row>
    <row r="2" ht="30" customHeight="1">
      <c r="A2" s="2" t="n"/>
      <c r="B2" s="22" t="inlineStr">
        <is>
          <t>Schedule</t>
        </is>
      </c>
      <c r="C2" s="2" t="n"/>
      <c r="D2" s="2" t="n"/>
      <c r="E2" s="2" t="n"/>
      <c r="F2" s="2" t="n"/>
      <c r="G2" s="2" t="n"/>
      <c r="H2" s="2" t="n"/>
      <c r="I2" s="2" t="n"/>
      <c r="J2" s="2" t="n"/>
      <c r="K2" s="2" t="n"/>
      <c r="L2" s="2" t="n"/>
      <c r="M2" s="2" t="n"/>
      <c r="N2" s="2" t="n"/>
    </row>
    <row r="3" ht="18" customHeight="1">
      <c r="A3" s="2" t="n"/>
      <c r="B3" s="23" t="inlineStr">
        <is>
          <t>72 tasks · 43% complete · 1 delayed</t>
        </is>
      </c>
      <c r="C3" s="2" t="n"/>
      <c r="D3" s="2" t="n"/>
      <c r="E3" s="2" t="n"/>
      <c r="F3" s="2" t="n"/>
      <c r="G3" s="2" t="n"/>
      <c r="H3" s="2" t="n"/>
      <c r="I3" s="2" t="n"/>
      <c r="J3" s="2" t="n"/>
      <c r="K3" s="2" t="n"/>
      <c r="L3" s="2" t="n"/>
      <c r="M3" s="2" t="n"/>
      <c r="N3" s="2" t="n"/>
    </row>
    <row r="4" ht="3" customHeight="1">
      <c r="A4" s="2" t="n"/>
      <c r="B4" s="5" t="n"/>
      <c r="C4" s="2" t="n"/>
      <c r="D4" s="2" t="n"/>
      <c r="E4" s="2" t="n"/>
      <c r="F4" s="2" t="n"/>
      <c r="G4" s="2" t="n"/>
      <c r="H4" s="2" t="n"/>
      <c r="I4" s="2" t="n"/>
      <c r="J4" s="2" t="n"/>
      <c r="K4" s="2" t="n"/>
      <c r="L4" s="2" t="n"/>
      <c r="M4" s="2" t="n"/>
      <c r="N4" s="2" t="n"/>
    </row>
    <row r="5">
      <c r="A5" s="2" t="n"/>
      <c r="B5" s="2" t="n"/>
      <c r="C5" s="2" t="n"/>
      <c r="D5" s="2" t="n"/>
      <c r="E5" s="2" t="n"/>
      <c r="F5" s="2" t="n"/>
      <c r="G5" s="2" t="n"/>
      <c r="H5" s="2" t="n"/>
      <c r="I5" s="2" t="n"/>
      <c r="J5" s="2" t="n"/>
      <c r="K5" s="2" t="n"/>
      <c r="L5" s="2" t="n"/>
      <c r="M5" s="2" t="n"/>
      <c r="N5" s="2" t="n"/>
    </row>
    <row r="6" ht="26" customHeight="1">
      <c r="A6" s="2" t="n"/>
      <c r="B6" s="39" t="inlineStr">
        <is>
          <t>WBS</t>
        </is>
      </c>
      <c r="C6" s="38" t="inlineStr">
        <is>
          <t>Task</t>
        </is>
      </c>
      <c r="D6" s="38" t="inlineStr">
        <is>
          <t>Type</t>
        </is>
      </c>
      <c r="E6" s="38" t="inlineStr">
        <is>
          <t>Phase</t>
        </is>
      </c>
      <c r="F6" s="38" t="inlineStr">
        <is>
          <t>Status</t>
        </is>
      </c>
      <c r="G6" s="38" t="inlineStr">
        <is>
          <t>Priority</t>
        </is>
      </c>
      <c r="H6" s="38" t="inlineStr">
        <is>
          <t>% Complete</t>
        </is>
      </c>
      <c r="I6" s="39" t="inlineStr">
        <is>
          <t>Start</t>
        </is>
      </c>
      <c r="J6" s="39" t="inlineStr">
        <is>
          <t>Finish</t>
        </is>
      </c>
      <c r="K6" s="38" t="inlineStr">
        <is>
          <t>Crew</t>
        </is>
      </c>
      <c r="L6" s="39" t="inlineStr">
        <is>
          <t>Milestone</t>
        </is>
      </c>
      <c r="M6" s="2" t="n"/>
      <c r="N6" s="2" t="n"/>
    </row>
    <row r="7" ht="15" customHeight="1">
      <c r="A7" s="2" t="n"/>
      <c r="B7" s="41" t="inlineStr">
        <is>
          <t>2.1</t>
        </is>
      </c>
      <c r="C7" s="40" t="inlineStr">
        <is>
          <t>Anchor Bolts - Bldg. 1 &amp; 2</t>
        </is>
      </c>
      <c r="D7" s="40" t="inlineStr">
        <is>
          <t>Submittal</t>
        </is>
      </c>
      <c r="E7" s="40" t="inlineStr">
        <is>
          <t>Detailing</t>
        </is>
      </c>
      <c r="F7" s="43" t="inlineStr">
        <is>
          <t>Complete</t>
        </is>
      </c>
      <c r="G7" s="50" t="inlineStr">
        <is>
          <t>Normal</t>
        </is>
      </c>
      <c r="H7" s="61" t="n">
        <v>100</v>
      </c>
      <c r="I7" s="62" t="inlineStr">
        <is>
          <t>0026-03-10</t>
        </is>
      </c>
      <c r="J7" s="53" t="n">
        <v>46114</v>
      </c>
      <c r="K7" s="40" t="inlineStr"/>
      <c r="L7" s="44" t="inlineStr"/>
      <c r="M7" s="2" t="n"/>
      <c r="N7" s="2" t="n"/>
    </row>
    <row r="8" ht="15" customHeight="1">
      <c r="A8" s="2" t="n"/>
      <c r="B8" s="47" t="inlineStr">
        <is>
          <t>1.1</t>
        </is>
      </c>
      <c r="C8" s="46" t="inlineStr">
        <is>
          <t>Project Kickoff</t>
        </is>
      </c>
      <c r="D8" s="46" t="inlineStr">
        <is>
          <t>Task</t>
        </is>
      </c>
      <c r="E8" s="46" t="inlineStr">
        <is>
          <t>Pre-Construction</t>
        </is>
      </c>
      <c r="F8" s="43" t="inlineStr">
        <is>
          <t>Complete</t>
        </is>
      </c>
      <c r="G8" s="50" t="inlineStr">
        <is>
          <t>Normal</t>
        </is>
      </c>
      <c r="H8" s="63" t="n">
        <v>100</v>
      </c>
      <c r="I8" s="54" t="n">
        <v>45993</v>
      </c>
      <c r="J8" s="54" t="n">
        <v>45993</v>
      </c>
      <c r="K8" s="46" t="inlineStr"/>
      <c r="L8" s="49" t="inlineStr"/>
      <c r="M8" s="2" t="n"/>
      <c r="N8" s="2" t="n"/>
    </row>
    <row r="9" ht="15" customHeight="1">
      <c r="A9" s="2" t="n"/>
      <c r="B9" s="41" t="inlineStr">
        <is>
          <t>2.2</t>
        </is>
      </c>
      <c r="C9" s="40" t="inlineStr">
        <is>
          <t>Panel Embeds - Bldg. 1</t>
        </is>
      </c>
      <c r="D9" s="40" t="inlineStr">
        <is>
          <t>Submittal</t>
        </is>
      </c>
      <c r="E9" s="40" t="inlineStr">
        <is>
          <t>Detailing</t>
        </is>
      </c>
      <c r="F9" s="43" t="inlineStr">
        <is>
          <t>Complete</t>
        </is>
      </c>
      <c r="G9" s="52" t="inlineStr">
        <is>
          <t>Critical</t>
        </is>
      </c>
      <c r="H9" s="61" t="n">
        <v>100</v>
      </c>
      <c r="I9" s="53" t="n">
        <v>46083</v>
      </c>
      <c r="J9" s="53" t="n">
        <v>46106</v>
      </c>
      <c r="K9" s="40" t="inlineStr"/>
      <c r="L9" s="44" t="inlineStr"/>
      <c r="M9" s="2" t="n"/>
      <c r="N9" s="2" t="n"/>
    </row>
    <row r="10" ht="15" customHeight="1">
      <c r="A10" s="2" t="n"/>
      <c r="B10" s="47" t="inlineStr">
        <is>
          <t>2.3</t>
        </is>
      </c>
      <c r="C10" s="46" t="inlineStr">
        <is>
          <t>Joists / Deck - Bldg. 2</t>
        </is>
      </c>
      <c r="D10" s="46" t="inlineStr">
        <is>
          <t>Submittal</t>
        </is>
      </c>
      <c r="E10" s="46" t="inlineStr">
        <is>
          <t>Detailing</t>
        </is>
      </c>
      <c r="F10" s="55" t="inlineStr">
        <is>
          <t>In Progress</t>
        </is>
      </c>
      <c r="G10" s="52" t="inlineStr">
        <is>
          <t>Critical</t>
        </is>
      </c>
      <c r="H10" s="63" t="n">
        <v>0</v>
      </c>
      <c r="I10" s="54" t="n">
        <v>46092</v>
      </c>
      <c r="J10" s="54" t="n">
        <v>46203</v>
      </c>
      <c r="K10" s="46" t="inlineStr"/>
      <c r="L10" s="49" t="inlineStr"/>
      <c r="M10" s="2" t="n"/>
      <c r="N10" s="2" t="n"/>
    </row>
    <row r="11" ht="15" customHeight="1">
      <c r="A11" s="2" t="n"/>
      <c r="B11" s="41" t="inlineStr">
        <is>
          <t>2.13</t>
        </is>
      </c>
      <c r="C11" s="40" t="inlineStr">
        <is>
          <t>Panel Embeds - Bldg. 2</t>
        </is>
      </c>
      <c r="D11" s="40" t="inlineStr">
        <is>
          <t>Submittal</t>
        </is>
      </c>
      <c r="E11" s="40" t="inlineStr">
        <is>
          <t>Detailing</t>
        </is>
      </c>
      <c r="F11" s="43" t="inlineStr">
        <is>
          <t>Complete</t>
        </is>
      </c>
      <c r="G11" s="50" t="inlineStr">
        <is>
          <t>Normal</t>
        </is>
      </c>
      <c r="H11" s="61" t="n">
        <v>100</v>
      </c>
      <c r="I11" s="53" t="n">
        <v>46094</v>
      </c>
      <c r="J11" s="53" t="n">
        <v>46149</v>
      </c>
      <c r="K11" s="40" t="inlineStr"/>
      <c r="L11" s="44" t="inlineStr"/>
      <c r="M11" s="2" t="n"/>
      <c r="N11" s="2" t="n"/>
    </row>
    <row r="12" ht="15" customHeight="1">
      <c r="A12" s="2" t="n"/>
      <c r="B12" s="47" t="inlineStr">
        <is>
          <t>2.4</t>
        </is>
      </c>
      <c r="C12" s="46" t="inlineStr">
        <is>
          <t>Balcony Rail - Bldg. 1</t>
        </is>
      </c>
      <c r="D12" s="46" t="inlineStr">
        <is>
          <t>Submittal</t>
        </is>
      </c>
      <c r="E12" s="46" t="inlineStr">
        <is>
          <t>Detailing</t>
        </is>
      </c>
      <c r="F12" s="55" t="inlineStr">
        <is>
          <t>In Progress</t>
        </is>
      </c>
      <c r="G12" s="50" t="inlineStr">
        <is>
          <t>Normal</t>
        </is>
      </c>
      <c r="H12" s="63" t="n">
        <v>65</v>
      </c>
      <c r="I12" s="54" t="n">
        <v>46104</v>
      </c>
      <c r="J12" s="54" t="n">
        <v>46198</v>
      </c>
      <c r="K12" s="46" t="inlineStr"/>
      <c r="L12" s="49" t="inlineStr"/>
      <c r="M12" s="2" t="n"/>
      <c r="N12" s="2" t="n"/>
    </row>
    <row r="13" ht="15" customHeight="1">
      <c r="A13" s="2" t="n"/>
      <c r="B13" s="41" t="inlineStr">
        <is>
          <t>3.1</t>
        </is>
      </c>
      <c r="C13" s="40" t="inlineStr">
        <is>
          <t>Panel Embeds - Bldg. 1</t>
        </is>
      </c>
      <c r="D13" s="40" t="inlineStr">
        <is>
          <t>Task</t>
        </is>
      </c>
      <c r="E13" s="40" t="inlineStr">
        <is>
          <t>Procurement</t>
        </is>
      </c>
      <c r="F13" s="43" t="inlineStr">
        <is>
          <t>Complete</t>
        </is>
      </c>
      <c r="G13" s="52" t="inlineStr">
        <is>
          <t>Critical</t>
        </is>
      </c>
      <c r="H13" s="61" t="n">
        <v>100</v>
      </c>
      <c r="I13" s="53" t="n">
        <v>46107</v>
      </c>
      <c r="J13" s="53" t="n">
        <v>46112</v>
      </c>
      <c r="K13" s="40" t="inlineStr"/>
      <c r="L13" s="44" t="inlineStr"/>
      <c r="M13" s="2" t="n"/>
      <c r="N13" s="2" t="n"/>
    </row>
    <row r="14" ht="15" customHeight="1">
      <c r="A14" s="2" t="n"/>
      <c r="B14" s="47" t="inlineStr">
        <is>
          <t>2.6</t>
        </is>
      </c>
      <c r="C14" s="46" t="inlineStr">
        <is>
          <t>Main Steel - Bldg. 2</t>
        </is>
      </c>
      <c r="D14" s="46" t="inlineStr">
        <is>
          <t>Submittal</t>
        </is>
      </c>
      <c r="E14" s="46" t="inlineStr">
        <is>
          <t>Detailing</t>
        </is>
      </c>
      <c r="F14" s="43" t="inlineStr">
        <is>
          <t>Complete</t>
        </is>
      </c>
      <c r="G14" s="50" t="inlineStr">
        <is>
          <t>Normal</t>
        </is>
      </c>
      <c r="H14" s="63" t="n">
        <v>100</v>
      </c>
      <c r="I14" s="54" t="n">
        <v>46112</v>
      </c>
      <c r="J14" s="54" t="n">
        <v>46171</v>
      </c>
      <c r="K14" s="46" t="inlineStr"/>
      <c r="L14" s="49" t="inlineStr"/>
      <c r="M14" s="2" t="n"/>
      <c r="N14" s="2" t="n"/>
    </row>
    <row r="15" ht="15" customHeight="1">
      <c r="A15" s="2" t="n"/>
      <c r="B15" s="41" t="inlineStr">
        <is>
          <t>2.5</t>
        </is>
      </c>
      <c r="C15" s="40" t="inlineStr">
        <is>
          <t>Balcony Rail - Bldg. 2</t>
        </is>
      </c>
      <c r="D15" s="40" t="inlineStr">
        <is>
          <t>Submittal</t>
        </is>
      </c>
      <c r="E15" s="40" t="inlineStr">
        <is>
          <t>Detailing</t>
        </is>
      </c>
      <c r="F15" s="55" t="inlineStr">
        <is>
          <t>In Progress</t>
        </is>
      </c>
      <c r="G15" s="50" t="inlineStr">
        <is>
          <t>Normal</t>
        </is>
      </c>
      <c r="H15" s="61" t="n">
        <v>0</v>
      </c>
      <c r="I15" s="53" t="n">
        <v>46112</v>
      </c>
      <c r="J15" s="53" t="n">
        <v>46198</v>
      </c>
      <c r="K15" s="40" t="inlineStr"/>
      <c r="L15" s="44" t="inlineStr"/>
      <c r="M15" s="2" t="n"/>
      <c r="N15" s="2" t="n"/>
    </row>
    <row r="16" ht="15" customHeight="1">
      <c r="A16" s="2" t="n"/>
      <c r="B16" s="47" t="inlineStr">
        <is>
          <t>5.3</t>
        </is>
      </c>
      <c r="C16" s="46" t="inlineStr">
        <is>
          <t>Panel Embeds - Bldg. 1</t>
        </is>
      </c>
      <c r="D16" s="46" t="inlineStr">
        <is>
          <t>Delivery</t>
        </is>
      </c>
      <c r="E16" s="46" t="inlineStr">
        <is>
          <t>Delivery</t>
        </is>
      </c>
      <c r="F16" s="43" t="inlineStr">
        <is>
          <t>Complete</t>
        </is>
      </c>
      <c r="G16" s="52" t="inlineStr">
        <is>
          <t>Critical</t>
        </is>
      </c>
      <c r="H16" s="63" t="n">
        <v>100</v>
      </c>
      <c r="I16" s="54" t="n">
        <v>46113</v>
      </c>
      <c r="J16" s="54" t="n">
        <v>46119</v>
      </c>
      <c r="K16" s="46" t="inlineStr"/>
      <c r="L16" s="49" t="inlineStr"/>
      <c r="M16" s="2" t="n"/>
      <c r="N16" s="2" t="n"/>
    </row>
    <row r="17" ht="15" customHeight="1">
      <c r="A17" s="2" t="n"/>
      <c r="B17" s="41" t="inlineStr">
        <is>
          <t>4.3</t>
        </is>
      </c>
      <c r="C17" s="40" t="inlineStr">
        <is>
          <t>Panel Embeds - Bldg. 1</t>
        </is>
      </c>
      <c r="D17" s="40" t="inlineStr">
        <is>
          <t>Fabrication</t>
        </is>
      </c>
      <c r="E17" s="40" t="inlineStr">
        <is>
          <t>Fabrication</t>
        </is>
      </c>
      <c r="F17" s="43" t="inlineStr">
        <is>
          <t>Complete</t>
        </is>
      </c>
      <c r="G17" s="52" t="inlineStr">
        <is>
          <t>Critical</t>
        </is>
      </c>
      <c r="H17" s="61" t="n">
        <v>100</v>
      </c>
      <c r="I17" s="53" t="n">
        <v>46113</v>
      </c>
      <c r="J17" s="53" t="n">
        <v>46132</v>
      </c>
      <c r="K17" s="40" t="inlineStr"/>
      <c r="L17" s="44" t="inlineStr"/>
      <c r="M17" s="2" t="n"/>
      <c r="N17" s="2" t="n"/>
    </row>
    <row r="18" ht="15" customHeight="1">
      <c r="A18" s="2" t="n"/>
      <c r="B18" s="47" t="inlineStr">
        <is>
          <t>2.12</t>
        </is>
      </c>
      <c r="C18" s="46" t="inlineStr">
        <is>
          <t>Ladders - Bldg. 1 &amp; 2</t>
        </is>
      </c>
      <c r="D18" s="46" t="inlineStr">
        <is>
          <t>Submittal</t>
        </is>
      </c>
      <c r="E18" s="46" t="inlineStr">
        <is>
          <t>Detailing</t>
        </is>
      </c>
      <c r="F18" s="52" t="inlineStr">
        <is>
          <t>Delayed</t>
        </is>
      </c>
      <c r="G18" s="50" t="inlineStr">
        <is>
          <t>Normal</t>
        </is>
      </c>
      <c r="H18" s="63" t="n">
        <v>0</v>
      </c>
      <c r="I18" s="54" t="n">
        <v>46120</v>
      </c>
      <c r="J18" s="54" t="n">
        <v>46134</v>
      </c>
      <c r="K18" s="46" t="inlineStr"/>
      <c r="L18" s="49" t="inlineStr"/>
      <c r="M18" s="2" t="n"/>
      <c r="N18" s="2" t="n"/>
    </row>
    <row r="19" ht="15" customHeight="1">
      <c r="A19" s="2" t="n"/>
      <c r="B19" s="41" t="inlineStr">
        <is>
          <t>6.1</t>
        </is>
      </c>
      <c r="C19" s="40" t="inlineStr">
        <is>
          <t>Panel Embeds - Bldg. 1</t>
        </is>
      </c>
      <c r="D19" s="40" t="inlineStr">
        <is>
          <t>Install</t>
        </is>
      </c>
      <c r="E19" s="40" t="inlineStr">
        <is>
          <t>Installation</t>
        </is>
      </c>
      <c r="F19" s="43" t="inlineStr">
        <is>
          <t>Complete</t>
        </is>
      </c>
      <c r="G19" s="50" t="inlineStr">
        <is>
          <t>Normal</t>
        </is>
      </c>
      <c r="H19" s="61" t="n">
        <v>100</v>
      </c>
      <c r="I19" s="53" t="n">
        <v>46120</v>
      </c>
      <c r="J19" s="53" t="n">
        <v>46120</v>
      </c>
      <c r="K19" s="40" t="inlineStr"/>
      <c r="L19" s="44" t="inlineStr"/>
      <c r="M19" s="2" t="n"/>
      <c r="N19" s="2" t="n"/>
    </row>
    <row r="20" ht="15" customHeight="1">
      <c r="A20" s="2" t="n"/>
      <c r="B20" s="47" t="inlineStr">
        <is>
          <t>2.8</t>
        </is>
      </c>
      <c r="C20" s="46" t="inlineStr">
        <is>
          <t>Joists / Deck - Bldg. 1</t>
        </is>
      </c>
      <c r="D20" s="46" t="inlineStr">
        <is>
          <t>Submittal</t>
        </is>
      </c>
      <c r="E20" s="46" t="inlineStr">
        <is>
          <t>Detailing</t>
        </is>
      </c>
      <c r="F20" s="43" t="inlineStr">
        <is>
          <t>Complete</t>
        </is>
      </c>
      <c r="G20" s="50" t="inlineStr">
        <is>
          <t>Normal</t>
        </is>
      </c>
      <c r="H20" s="63" t="n">
        <v>100</v>
      </c>
      <c r="I20" s="54" t="n">
        <v>46126</v>
      </c>
      <c r="J20" s="54" t="n">
        <v>46192</v>
      </c>
      <c r="K20" s="46" t="inlineStr"/>
      <c r="L20" s="49" t="inlineStr"/>
      <c r="M20" s="2" t="n"/>
      <c r="N20" s="2" t="n"/>
    </row>
    <row r="21" ht="15" customHeight="1">
      <c r="A21" s="2" t="n"/>
      <c r="B21" s="41" t="inlineStr">
        <is>
          <t>3.5</t>
        </is>
      </c>
      <c r="C21" s="40" t="inlineStr">
        <is>
          <t>Panel Embeds - Bldg. 2</t>
        </is>
      </c>
      <c r="D21" s="40" t="inlineStr">
        <is>
          <t>Task</t>
        </is>
      </c>
      <c r="E21" s="40" t="inlineStr">
        <is>
          <t>Procurement</t>
        </is>
      </c>
      <c r="F21" s="43" t="inlineStr">
        <is>
          <t>Complete</t>
        </is>
      </c>
      <c r="G21" s="52" t="inlineStr">
        <is>
          <t>Critical</t>
        </is>
      </c>
      <c r="H21" s="61" t="n">
        <v>100</v>
      </c>
      <c r="I21" s="53" t="n">
        <v>46150</v>
      </c>
      <c r="J21" s="53" t="n">
        <v>46155</v>
      </c>
      <c r="K21" s="40" t="inlineStr"/>
      <c r="L21" s="44" t="inlineStr"/>
      <c r="M21" s="2" t="n"/>
      <c r="N21" s="2" t="n"/>
    </row>
    <row r="22" ht="15" customHeight="1">
      <c r="A22" s="2" t="n"/>
      <c r="B22" s="47" t="inlineStr">
        <is>
          <t>2.11</t>
        </is>
      </c>
      <c r="C22" s="46" t="inlineStr">
        <is>
          <t>Stairs - Bldg 1</t>
        </is>
      </c>
      <c r="D22" s="46" t="inlineStr">
        <is>
          <t>Submittal</t>
        </is>
      </c>
      <c r="E22" s="46" t="inlineStr">
        <is>
          <t>Detailing</t>
        </is>
      </c>
      <c r="F22" s="55" t="inlineStr">
        <is>
          <t>In Progress</t>
        </is>
      </c>
      <c r="G22" s="50" t="inlineStr">
        <is>
          <t>Normal</t>
        </is>
      </c>
      <c r="H22" s="63" t="n">
        <v>0</v>
      </c>
      <c r="I22" s="54" t="n">
        <v>46153</v>
      </c>
      <c r="J22" s="54" t="n">
        <v>46160</v>
      </c>
      <c r="K22" s="46" t="inlineStr"/>
      <c r="L22" s="49" t="inlineStr"/>
      <c r="M22" s="2" t="n"/>
      <c r="N22" s="2" t="n"/>
    </row>
    <row r="23" ht="15" customHeight="1">
      <c r="A23" s="2" t="n"/>
      <c r="B23" s="41" t="inlineStr">
        <is>
          <t>2.12</t>
        </is>
      </c>
      <c r="C23" s="40" t="inlineStr">
        <is>
          <t>Stairs - Bldg. 2</t>
        </is>
      </c>
      <c r="D23" s="40" t="inlineStr">
        <is>
          <t>Submittal</t>
        </is>
      </c>
      <c r="E23" s="40" t="inlineStr">
        <is>
          <t>Detailing</t>
        </is>
      </c>
      <c r="F23" s="55" t="inlineStr">
        <is>
          <t>In Progress</t>
        </is>
      </c>
      <c r="G23" s="50" t="inlineStr">
        <is>
          <t>Normal</t>
        </is>
      </c>
      <c r="H23" s="61" t="n">
        <v>0</v>
      </c>
      <c r="I23" s="53" t="n">
        <v>46153</v>
      </c>
      <c r="J23" s="53" t="n">
        <v>46160</v>
      </c>
      <c r="K23" s="40" t="inlineStr"/>
      <c r="L23" s="44" t="inlineStr"/>
      <c r="M23" s="2" t="n"/>
      <c r="N23" s="2" t="n"/>
    </row>
    <row r="24" ht="15" customHeight="1">
      <c r="A24" s="2" t="n"/>
      <c r="B24" s="47" t="inlineStr">
        <is>
          <t>4.4</t>
        </is>
      </c>
      <c r="C24" s="46" t="inlineStr">
        <is>
          <t>Panel Embeds - Bldg. 2</t>
        </is>
      </c>
      <c r="D24" s="46" t="inlineStr">
        <is>
          <t>Fabrication</t>
        </is>
      </c>
      <c r="E24" s="46" t="inlineStr">
        <is>
          <t>Fabrication</t>
        </is>
      </c>
      <c r="F24" s="43" t="inlineStr">
        <is>
          <t>Complete</t>
        </is>
      </c>
      <c r="G24" s="52" t="inlineStr">
        <is>
          <t>Critical</t>
        </is>
      </c>
      <c r="H24" s="63" t="n">
        <v>100</v>
      </c>
      <c r="I24" s="54" t="n">
        <v>46156</v>
      </c>
      <c r="J24" s="54" t="n">
        <v>46175</v>
      </c>
      <c r="K24" s="46" t="inlineStr"/>
      <c r="L24" s="49" t="inlineStr"/>
      <c r="M24" s="2" t="n"/>
      <c r="N24" s="2" t="n"/>
    </row>
    <row r="25" ht="15" customHeight="1">
      <c r="A25" s="2" t="n"/>
      <c r="B25" s="41" t="inlineStr">
        <is>
          <t>2.13</t>
        </is>
      </c>
      <c r="C25" s="40" t="inlineStr">
        <is>
          <t>Main Steel (Wedge Canopy) - Bldg. 1</t>
        </is>
      </c>
      <c r="D25" s="40" t="inlineStr">
        <is>
          <t>Submittal</t>
        </is>
      </c>
      <c r="E25" s="40" t="inlineStr">
        <is>
          <t>Detailing</t>
        </is>
      </c>
      <c r="F25" s="43" t="inlineStr">
        <is>
          <t>Complete</t>
        </is>
      </c>
      <c r="G25" s="50" t="inlineStr">
        <is>
          <t>Normal</t>
        </is>
      </c>
      <c r="H25" s="61" t="n">
        <v>100</v>
      </c>
      <c r="I25" s="53" t="n">
        <v>46156</v>
      </c>
      <c r="J25" s="53" t="n">
        <v>46168</v>
      </c>
      <c r="K25" s="40" t="inlineStr"/>
      <c r="L25" s="44" t="inlineStr"/>
      <c r="M25" s="2" t="n"/>
      <c r="N25" s="2" t="n"/>
    </row>
    <row r="26" ht="15" customHeight="1">
      <c r="A26" s="2" t="n"/>
      <c r="B26" s="47" t="inlineStr">
        <is>
          <t>3.1</t>
        </is>
      </c>
      <c r="C26" s="46" t="inlineStr">
        <is>
          <t>Anchor bolt material</t>
        </is>
      </c>
      <c r="D26" s="46" t="inlineStr">
        <is>
          <t>Task</t>
        </is>
      </c>
      <c r="E26" s="46" t="inlineStr">
        <is>
          <t>Procurement</t>
        </is>
      </c>
      <c r="F26" s="43" t="inlineStr">
        <is>
          <t>Complete</t>
        </is>
      </c>
      <c r="G26" s="50" t="inlineStr">
        <is>
          <t>Normal</t>
        </is>
      </c>
      <c r="H26" s="63" t="n">
        <v>100</v>
      </c>
      <c r="I26" s="54" t="n">
        <v>46160</v>
      </c>
      <c r="J26" s="54" t="n">
        <v>46165</v>
      </c>
      <c r="K26" s="46" t="inlineStr"/>
      <c r="L26" s="49" t="inlineStr"/>
      <c r="M26" s="2" t="n"/>
      <c r="N26" s="2" t="n"/>
    </row>
    <row r="27" ht="15" customHeight="1">
      <c r="A27" s="2" t="n"/>
      <c r="B27" s="41" t="inlineStr">
        <is>
          <t>4.2</t>
        </is>
      </c>
      <c r="C27" s="40" t="inlineStr">
        <is>
          <t>Anchor Bolts - Bldg. 1 &amp; 2</t>
        </is>
      </c>
      <c r="D27" s="40" t="inlineStr">
        <is>
          <t>Fabrication</t>
        </is>
      </c>
      <c r="E27" s="40" t="inlineStr">
        <is>
          <t>Fabrication</t>
        </is>
      </c>
      <c r="F27" s="43" t="inlineStr">
        <is>
          <t>Complete</t>
        </is>
      </c>
      <c r="G27" s="52" t="inlineStr">
        <is>
          <t>Critical</t>
        </is>
      </c>
      <c r="H27" s="61" t="n">
        <v>100</v>
      </c>
      <c r="I27" s="53" t="n">
        <v>46166</v>
      </c>
      <c r="J27" s="53" t="n">
        <v>46185</v>
      </c>
      <c r="K27" s="40" t="inlineStr"/>
      <c r="L27" s="44" t="inlineStr"/>
      <c r="M27" s="2" t="n"/>
      <c r="N27" s="2" t="n"/>
    </row>
    <row r="28" ht="15" customHeight="1">
      <c r="A28" s="2" t="n"/>
      <c r="B28" s="47" t="inlineStr">
        <is>
          <t>2.13</t>
        </is>
      </c>
      <c r="C28" s="46" t="inlineStr">
        <is>
          <t>Site Misc. Steel</t>
        </is>
      </c>
      <c r="D28" s="46" t="inlineStr">
        <is>
          <t>Submittal</t>
        </is>
      </c>
      <c r="E28" s="46" t="inlineStr">
        <is>
          <t>Detailing</t>
        </is>
      </c>
      <c r="F28" s="55" t="inlineStr">
        <is>
          <t>In Progress</t>
        </is>
      </c>
      <c r="G28" s="50" t="inlineStr">
        <is>
          <t>Normal</t>
        </is>
      </c>
      <c r="H28" s="63" t="n">
        <v>27</v>
      </c>
      <c r="I28" s="54" t="n">
        <v>46168</v>
      </c>
      <c r="J28" s="54" t="n">
        <v>46193</v>
      </c>
      <c r="K28" s="46" t="inlineStr"/>
      <c r="L28" s="49" t="inlineStr"/>
      <c r="M28" s="2" t="n"/>
      <c r="N28" s="2" t="n"/>
    </row>
    <row r="29" ht="15" customHeight="1">
      <c r="A29" s="2" t="n"/>
      <c r="B29" s="41" t="inlineStr">
        <is>
          <t>3.7</t>
        </is>
      </c>
      <c r="C29" s="40" t="inlineStr">
        <is>
          <t>Main Steel - Bldg. 2</t>
        </is>
      </c>
      <c r="D29" s="40" t="inlineStr">
        <is>
          <t>Task</t>
        </is>
      </c>
      <c r="E29" s="40" t="inlineStr">
        <is>
          <t>Procurement</t>
        </is>
      </c>
      <c r="F29" s="43" t="inlineStr">
        <is>
          <t>Complete</t>
        </is>
      </c>
      <c r="G29" s="64" t="inlineStr">
        <is>
          <t>High</t>
        </is>
      </c>
      <c r="H29" s="61" t="n">
        <v>100</v>
      </c>
      <c r="I29" s="53" t="n">
        <v>46172</v>
      </c>
      <c r="J29" s="53" t="n">
        <v>46177</v>
      </c>
      <c r="K29" s="40" t="inlineStr"/>
      <c r="L29" s="44" t="inlineStr"/>
      <c r="M29" s="2" t="n"/>
      <c r="N29" s="2" t="n"/>
    </row>
    <row r="30" ht="15" customHeight="1">
      <c r="A30" s="2" t="n"/>
      <c r="B30" s="47" t="inlineStr">
        <is>
          <t>3.8</t>
        </is>
      </c>
      <c r="C30" s="46" t="inlineStr">
        <is>
          <t>Building 2 Hardware</t>
        </is>
      </c>
      <c r="D30" s="46" t="inlineStr">
        <is>
          <t>Task</t>
        </is>
      </c>
      <c r="E30" s="46" t="inlineStr">
        <is>
          <t>Procurement</t>
        </is>
      </c>
      <c r="F30" s="43" t="inlineStr">
        <is>
          <t>Complete</t>
        </is>
      </c>
      <c r="G30" s="50" t="inlineStr">
        <is>
          <t>Normal</t>
        </is>
      </c>
      <c r="H30" s="63" t="n">
        <v>100</v>
      </c>
      <c r="I30" s="54" t="n">
        <v>46172</v>
      </c>
      <c r="J30" s="54" t="n">
        <v>46176</v>
      </c>
      <c r="K30" s="46" t="inlineStr"/>
      <c r="L30" s="49" t="inlineStr"/>
      <c r="M30" s="2" t="n"/>
      <c r="N30" s="2" t="n"/>
    </row>
    <row r="31" ht="15" customHeight="1">
      <c r="A31" s="2" t="n"/>
      <c r="B31" s="41" t="inlineStr">
        <is>
          <t>3.12</t>
        </is>
      </c>
      <c r="C31" s="40" t="inlineStr">
        <is>
          <t xml:space="preserve">Truck 1 Delivery </t>
        </is>
      </c>
      <c r="D31" s="40" t="inlineStr">
        <is>
          <t>Task</t>
        </is>
      </c>
      <c r="E31" s="40" t="inlineStr">
        <is>
          <t>Procurement</t>
        </is>
      </c>
      <c r="F31" s="43" t="inlineStr">
        <is>
          <t>Complete</t>
        </is>
      </c>
      <c r="G31" s="50" t="inlineStr">
        <is>
          <t>Normal</t>
        </is>
      </c>
      <c r="H31" s="61" t="n">
        <v>100</v>
      </c>
      <c r="I31" s="53" t="n">
        <v>46175</v>
      </c>
      <c r="J31" s="53" t="n">
        <v>46175</v>
      </c>
      <c r="K31" s="40" t="inlineStr"/>
      <c r="L31" s="44" t="inlineStr"/>
      <c r="M31" s="2" t="n"/>
      <c r="N31" s="2" t="n"/>
    </row>
    <row r="32" ht="15" customHeight="1">
      <c r="A32" s="2" t="n"/>
      <c r="B32" s="47" t="inlineStr">
        <is>
          <t>5.5</t>
        </is>
      </c>
      <c r="C32" s="46" t="inlineStr">
        <is>
          <t>Panel Embeds - Bldg. 2</t>
        </is>
      </c>
      <c r="D32" s="46" t="inlineStr">
        <is>
          <t>Delivery</t>
        </is>
      </c>
      <c r="E32" s="46" t="inlineStr">
        <is>
          <t>Delivery</t>
        </is>
      </c>
      <c r="F32" s="43" t="inlineStr">
        <is>
          <t>Complete</t>
        </is>
      </c>
      <c r="G32" s="52" t="inlineStr">
        <is>
          <t>Critical</t>
        </is>
      </c>
      <c r="H32" s="63" t="n">
        <v>100</v>
      </c>
      <c r="I32" s="54" t="n">
        <v>46176</v>
      </c>
      <c r="J32" s="54" t="n">
        <v>46201</v>
      </c>
      <c r="K32" s="46" t="inlineStr"/>
      <c r="L32" s="49" t="inlineStr"/>
      <c r="M32" s="2" t="n"/>
      <c r="N32" s="2" t="n"/>
    </row>
    <row r="33" ht="15" customHeight="1">
      <c r="A33" s="2" t="n"/>
      <c r="B33" s="41" t="inlineStr">
        <is>
          <t>4.10</t>
        </is>
      </c>
      <c r="C33" s="40" t="inlineStr">
        <is>
          <t>Main Steel - Bldg. 2</t>
        </is>
      </c>
      <c r="D33" s="40" t="inlineStr">
        <is>
          <t>Fabrication</t>
        </is>
      </c>
      <c r="E33" s="40" t="inlineStr">
        <is>
          <t>Fabrication</t>
        </is>
      </c>
      <c r="F33" s="55" t="inlineStr">
        <is>
          <t>In Progress</t>
        </is>
      </c>
      <c r="G33" s="64" t="inlineStr">
        <is>
          <t>High</t>
        </is>
      </c>
      <c r="H33" s="61" t="n">
        <v>0</v>
      </c>
      <c r="I33" s="53" t="n">
        <v>46178</v>
      </c>
      <c r="J33" s="53" t="n">
        <v>46198</v>
      </c>
      <c r="K33" s="40" t="inlineStr"/>
      <c r="L33" s="44" t="inlineStr"/>
      <c r="M33" s="2" t="n"/>
      <c r="N33" s="2" t="n"/>
    </row>
    <row r="34" ht="15" customHeight="1">
      <c r="A34" s="2" t="n"/>
      <c r="B34" s="47" t="inlineStr">
        <is>
          <t>5.3</t>
        </is>
      </c>
      <c r="C34" s="46" t="inlineStr">
        <is>
          <t>Truck 2 Delivery</t>
        </is>
      </c>
      <c r="D34" s="46" t="inlineStr">
        <is>
          <t>Delivery</t>
        </is>
      </c>
      <c r="E34" s="46" t="inlineStr">
        <is>
          <t>Delivery</t>
        </is>
      </c>
      <c r="F34" s="43" t="inlineStr">
        <is>
          <t>Complete</t>
        </is>
      </c>
      <c r="G34" s="64" t="inlineStr">
        <is>
          <t>High</t>
        </is>
      </c>
      <c r="H34" s="63" t="n">
        <v>100</v>
      </c>
      <c r="I34" s="54" t="n">
        <v>46179</v>
      </c>
      <c r="J34" s="65" t="inlineStr">
        <is>
          <t>82026-06-06</t>
        </is>
      </c>
      <c r="K34" s="46" t="inlineStr"/>
      <c r="L34" s="49" t="inlineStr"/>
      <c r="M34" s="2" t="n"/>
      <c r="N34" s="2" t="n"/>
    </row>
    <row r="35" ht="15" customHeight="1">
      <c r="A35" s="2" t="n"/>
      <c r="B35" s="41" t="inlineStr">
        <is>
          <t>5.4</t>
        </is>
      </c>
      <c r="C35" s="40" t="inlineStr">
        <is>
          <t>Truck 3 Delivery</t>
        </is>
      </c>
      <c r="D35" s="40" t="inlineStr">
        <is>
          <t>Delivery</t>
        </is>
      </c>
      <c r="E35" s="40" t="inlineStr">
        <is>
          <t>Delivery</t>
        </is>
      </c>
      <c r="F35" s="43" t="inlineStr">
        <is>
          <t>Complete</t>
        </is>
      </c>
      <c r="G35" s="50" t="inlineStr">
        <is>
          <t>Normal</t>
        </is>
      </c>
      <c r="H35" s="61" t="n">
        <v>100</v>
      </c>
      <c r="I35" s="53" t="n">
        <v>46181</v>
      </c>
      <c r="J35" s="53" t="n">
        <v>46183</v>
      </c>
      <c r="K35" s="40" t="inlineStr"/>
      <c r="L35" s="44" t="inlineStr"/>
      <c r="M35" s="2" t="n"/>
      <c r="N35" s="2" t="n"/>
    </row>
    <row r="36" ht="15" customHeight="1">
      <c r="A36" s="2" t="n"/>
      <c r="B36" s="47" t="inlineStr">
        <is>
          <t>2.14</t>
        </is>
      </c>
      <c r="C36" s="46" t="inlineStr">
        <is>
          <t>Wedge Canopy Mockups</t>
        </is>
      </c>
      <c r="D36" s="46" t="inlineStr">
        <is>
          <t>Submittal</t>
        </is>
      </c>
      <c r="E36" s="46" t="inlineStr">
        <is>
          <t>Detailing</t>
        </is>
      </c>
      <c r="F36" s="43" t="inlineStr">
        <is>
          <t>Complete</t>
        </is>
      </c>
      <c r="G36" s="50" t="inlineStr">
        <is>
          <t>Normal</t>
        </is>
      </c>
      <c r="H36" s="63" t="n">
        <v>100</v>
      </c>
      <c r="I36" s="54" t="n">
        <v>46185</v>
      </c>
      <c r="J36" s="54" t="n">
        <v>46185</v>
      </c>
      <c r="K36" s="46" t="inlineStr"/>
      <c r="L36" s="49" t="inlineStr"/>
      <c r="M36" s="2" t="n"/>
      <c r="N36" s="2" t="n"/>
    </row>
    <row r="37" ht="15" customHeight="1">
      <c r="A37" s="2" t="n"/>
      <c r="B37" s="41" t="inlineStr">
        <is>
          <t>5.1</t>
        </is>
      </c>
      <c r="C37" s="40" t="inlineStr">
        <is>
          <t>Anchor Bolts - Bldg. 1 &amp; 2</t>
        </is>
      </c>
      <c r="D37" s="40" t="inlineStr">
        <is>
          <t>Delivery</t>
        </is>
      </c>
      <c r="E37" s="40" t="inlineStr">
        <is>
          <t>Delivery</t>
        </is>
      </c>
      <c r="F37" s="43" t="inlineStr">
        <is>
          <t>Complete</t>
        </is>
      </c>
      <c r="G37" s="64" t="inlineStr">
        <is>
          <t>High</t>
        </is>
      </c>
      <c r="H37" s="61" t="n">
        <v>100</v>
      </c>
      <c r="I37" s="53" t="n">
        <v>46186</v>
      </c>
      <c r="J37" s="53" t="n">
        <v>46211</v>
      </c>
      <c r="K37" s="40" t="inlineStr"/>
      <c r="L37" s="44" t="inlineStr"/>
      <c r="M37" s="2" t="n"/>
      <c r="N37" s="2" t="n"/>
    </row>
    <row r="38" ht="15" customHeight="1">
      <c r="A38" s="2" t="n"/>
      <c r="B38" s="47" t="inlineStr">
        <is>
          <t>3.12</t>
        </is>
      </c>
      <c r="C38" s="46" t="inlineStr">
        <is>
          <t>Joists / Deck - Bldg. 1</t>
        </is>
      </c>
      <c r="D38" s="46" t="inlineStr">
        <is>
          <t>Task</t>
        </is>
      </c>
      <c r="E38" s="46" t="inlineStr">
        <is>
          <t>Procurement</t>
        </is>
      </c>
      <c r="F38" s="43" t="inlineStr">
        <is>
          <t>Complete</t>
        </is>
      </c>
      <c r="G38" s="52" t="inlineStr">
        <is>
          <t>Critical</t>
        </is>
      </c>
      <c r="H38" s="63" t="n">
        <v>100</v>
      </c>
      <c r="I38" s="54" t="n">
        <v>46193</v>
      </c>
      <c r="J38" s="54" t="n">
        <v>46193</v>
      </c>
      <c r="K38" s="46" t="inlineStr"/>
      <c r="L38" s="49" t="inlineStr"/>
      <c r="M38" s="2" t="n"/>
      <c r="N38" s="2" t="n"/>
    </row>
    <row r="39" ht="15" customHeight="1">
      <c r="A39" s="2" t="n"/>
      <c r="B39" s="41" t="inlineStr">
        <is>
          <t>4.5</t>
        </is>
      </c>
      <c r="C39" s="40" t="inlineStr">
        <is>
          <t>Joists / Deck - Bldg. 1</t>
        </is>
      </c>
      <c r="D39" s="40" t="inlineStr">
        <is>
          <t>Task</t>
        </is>
      </c>
      <c r="E39" s="40" t="inlineStr">
        <is>
          <t>Fabrication</t>
        </is>
      </c>
      <c r="F39" s="55" t="inlineStr">
        <is>
          <t>In Progress</t>
        </is>
      </c>
      <c r="G39" s="52" t="inlineStr">
        <is>
          <t>Critical</t>
        </is>
      </c>
      <c r="H39" s="61" t="n">
        <v>50</v>
      </c>
      <c r="I39" s="53" t="n">
        <v>46194</v>
      </c>
      <c r="J39" s="53" t="n">
        <v>46211</v>
      </c>
      <c r="K39" s="40" t="inlineStr"/>
      <c r="L39" s="44" t="inlineStr"/>
      <c r="M39" s="2" t="n"/>
      <c r="N39" s="2" t="n"/>
    </row>
    <row r="40" ht="15" customHeight="1">
      <c r="A40" s="2" t="n"/>
      <c r="B40" s="47" t="inlineStr">
        <is>
          <t>3.2</t>
        </is>
      </c>
      <c r="C40" s="46" t="inlineStr">
        <is>
          <t>Site Misc. Steel</t>
        </is>
      </c>
      <c r="D40" s="46" t="inlineStr">
        <is>
          <t>Task</t>
        </is>
      </c>
      <c r="E40" s="46" t="inlineStr">
        <is>
          <t>Procurement</t>
        </is>
      </c>
      <c r="F40" s="50" t="inlineStr">
        <is>
          <t>Not Started</t>
        </is>
      </c>
      <c r="G40" s="50" t="inlineStr">
        <is>
          <t>Normal</t>
        </is>
      </c>
      <c r="H40" s="63" t="n">
        <v>0</v>
      </c>
      <c r="I40" s="54" t="n">
        <v>46194</v>
      </c>
      <c r="J40" s="54" t="n">
        <v>46199</v>
      </c>
      <c r="K40" s="46" t="inlineStr"/>
      <c r="L40" s="49" t="inlineStr"/>
      <c r="M40" s="2" t="n"/>
      <c r="N40" s="2" t="n"/>
    </row>
    <row r="41" ht="15" customHeight="1">
      <c r="A41" s="2" t="n"/>
      <c r="B41" s="41" t="inlineStr">
        <is>
          <t>3.2</t>
        </is>
      </c>
      <c r="C41" s="40" t="inlineStr">
        <is>
          <t>Balcony Rail - Bldg. 2</t>
        </is>
      </c>
      <c r="D41" s="40" t="inlineStr">
        <is>
          <t>Task</t>
        </is>
      </c>
      <c r="E41" s="40" t="inlineStr">
        <is>
          <t>Procurement</t>
        </is>
      </c>
      <c r="F41" s="50" t="inlineStr">
        <is>
          <t>Not Started</t>
        </is>
      </c>
      <c r="G41" s="50" t="inlineStr">
        <is>
          <t>Normal</t>
        </is>
      </c>
      <c r="H41" s="61" t="n">
        <v>0</v>
      </c>
      <c r="I41" s="53" t="n">
        <v>46199</v>
      </c>
      <c r="J41" s="53" t="n">
        <v>46204</v>
      </c>
      <c r="K41" s="40" t="inlineStr"/>
      <c r="L41" s="44" t="inlineStr"/>
      <c r="M41" s="2" t="n"/>
      <c r="N41" s="2" t="n"/>
    </row>
    <row r="42" ht="15" customHeight="1">
      <c r="A42" s="2" t="n"/>
      <c r="B42" s="47" t="inlineStr">
        <is>
          <t>5.6</t>
        </is>
      </c>
      <c r="C42" s="46" t="inlineStr">
        <is>
          <t>Main Steel - Bldg. 2</t>
        </is>
      </c>
      <c r="D42" s="46" t="inlineStr">
        <is>
          <t>Delivery</t>
        </is>
      </c>
      <c r="E42" s="46" t="inlineStr">
        <is>
          <t>Delivery</t>
        </is>
      </c>
      <c r="F42" s="50" t="inlineStr">
        <is>
          <t>Not Started</t>
        </is>
      </c>
      <c r="G42" s="50" t="inlineStr">
        <is>
          <t>Normal</t>
        </is>
      </c>
      <c r="H42" s="63" t="n">
        <v>0</v>
      </c>
      <c r="I42" s="54" t="n">
        <v>46199</v>
      </c>
      <c r="J42" s="54" t="n">
        <v>46224</v>
      </c>
      <c r="K42" s="46" t="inlineStr"/>
      <c r="L42" s="49" t="inlineStr"/>
      <c r="M42" s="2" t="n"/>
      <c r="N42" s="2" t="n"/>
    </row>
    <row r="43" ht="15" customHeight="1">
      <c r="A43" s="2" t="n"/>
      <c r="B43" s="41" t="inlineStr">
        <is>
          <t>3.2</t>
        </is>
      </c>
      <c r="C43" s="40" t="inlineStr">
        <is>
          <t>Balcony Rail - Bldg. 1</t>
        </is>
      </c>
      <c r="D43" s="40" t="inlineStr">
        <is>
          <t>Task</t>
        </is>
      </c>
      <c r="E43" s="40" t="inlineStr">
        <is>
          <t>Procurement</t>
        </is>
      </c>
      <c r="F43" s="50" t="inlineStr">
        <is>
          <t>Not Started</t>
        </is>
      </c>
      <c r="G43" s="50" t="inlineStr">
        <is>
          <t>Normal</t>
        </is>
      </c>
      <c r="H43" s="61" t="n">
        <v>0</v>
      </c>
      <c r="I43" s="53" t="n">
        <v>46199</v>
      </c>
      <c r="J43" s="53" t="n">
        <v>46204</v>
      </c>
      <c r="K43" s="40" t="inlineStr"/>
      <c r="L43" s="44" t="inlineStr"/>
      <c r="M43" s="2" t="n"/>
      <c r="N43" s="2" t="n"/>
    </row>
    <row r="44" ht="15" customHeight="1">
      <c r="A44" s="2" t="n"/>
      <c r="B44" s="47" t="inlineStr">
        <is>
          <t>4.9</t>
        </is>
      </c>
      <c r="C44" s="46" t="inlineStr">
        <is>
          <t>Site Misc. Steel</t>
        </is>
      </c>
      <c r="D44" s="46" t="inlineStr">
        <is>
          <t>Fabrication</t>
        </is>
      </c>
      <c r="E44" s="46" t="inlineStr">
        <is>
          <t>Fabrication</t>
        </is>
      </c>
      <c r="F44" s="50" t="inlineStr">
        <is>
          <t>Not Started</t>
        </is>
      </c>
      <c r="G44" s="50" t="inlineStr">
        <is>
          <t>Normal</t>
        </is>
      </c>
      <c r="H44" s="63" t="n">
        <v>0</v>
      </c>
      <c r="I44" s="54" t="n">
        <v>46200</v>
      </c>
      <c r="J44" s="54" t="n">
        <v>46219</v>
      </c>
      <c r="K44" s="46" t="inlineStr"/>
      <c r="L44" s="49" t="inlineStr"/>
      <c r="M44" s="2" t="n"/>
      <c r="N44" s="2" t="n"/>
    </row>
    <row r="45" ht="15" customHeight="1">
      <c r="A45" s="2" t="n"/>
      <c r="B45" s="41" t="inlineStr">
        <is>
          <t>6.6</t>
        </is>
      </c>
      <c r="C45" s="40" t="inlineStr">
        <is>
          <t>Panel Embeds - Bldg. 2</t>
        </is>
      </c>
      <c r="D45" s="40" t="inlineStr">
        <is>
          <t>Install</t>
        </is>
      </c>
      <c r="E45" s="40" t="inlineStr">
        <is>
          <t>Installation</t>
        </is>
      </c>
      <c r="F45" s="55" t="inlineStr">
        <is>
          <t>In Progress</t>
        </is>
      </c>
      <c r="G45" s="50" t="inlineStr">
        <is>
          <t>Normal</t>
        </is>
      </c>
      <c r="H45" s="61" t="n">
        <v>72</v>
      </c>
      <c r="I45" s="53" t="n">
        <v>46202</v>
      </c>
      <c r="J45" s="53" t="n">
        <v>46202</v>
      </c>
      <c r="K45" s="40" t="inlineStr"/>
      <c r="L45" s="44" t="inlineStr"/>
      <c r="M45" s="2" t="n"/>
      <c r="N45" s="2" t="n"/>
    </row>
    <row r="46" ht="15" customHeight="1">
      <c r="A46" s="2" t="n"/>
      <c r="B46" s="47" t="inlineStr">
        <is>
          <t>3.5</t>
        </is>
      </c>
      <c r="C46" s="46" t="inlineStr">
        <is>
          <t>Stairs - Bldg. 1</t>
        </is>
      </c>
      <c r="D46" s="46" t="inlineStr">
        <is>
          <t>Task</t>
        </is>
      </c>
      <c r="E46" s="46" t="inlineStr">
        <is>
          <t>Procurement</t>
        </is>
      </c>
      <c r="F46" s="50" t="inlineStr">
        <is>
          <t>Not Started</t>
        </is>
      </c>
      <c r="G46" s="50" t="inlineStr">
        <is>
          <t>Normal</t>
        </is>
      </c>
      <c r="H46" s="63" t="n">
        <v>0</v>
      </c>
      <c r="I46" s="54" t="n">
        <v>46204</v>
      </c>
      <c r="J46" s="54" t="n">
        <v>46211</v>
      </c>
      <c r="K46" s="46" t="inlineStr"/>
      <c r="L46" s="49" t="inlineStr"/>
      <c r="M46" s="2" t="n"/>
      <c r="N46" s="2" t="n"/>
    </row>
    <row r="47" ht="15" customHeight="1">
      <c r="A47" s="2" t="n"/>
      <c r="B47" s="41" t="inlineStr">
        <is>
          <t>5.14</t>
        </is>
      </c>
      <c r="C47" s="40" t="inlineStr">
        <is>
          <t>Main Steel - Bldg. 1</t>
        </is>
      </c>
      <c r="D47" s="40" t="inlineStr">
        <is>
          <t>Delivery</t>
        </is>
      </c>
      <c r="E47" s="40" t="inlineStr">
        <is>
          <t>Delivery</t>
        </is>
      </c>
      <c r="F47" s="50" t="inlineStr">
        <is>
          <t>Not Started</t>
        </is>
      </c>
      <c r="G47" s="50" t="inlineStr">
        <is>
          <t>Normal</t>
        </is>
      </c>
      <c r="H47" s="61" t="n">
        <v>0</v>
      </c>
      <c r="I47" s="53" t="n">
        <v>46204</v>
      </c>
      <c r="J47" s="53" t="n">
        <v>46204</v>
      </c>
      <c r="K47" s="40" t="inlineStr"/>
      <c r="L47" s="44" t="inlineStr"/>
      <c r="M47" s="2" t="n"/>
      <c r="N47" s="2" t="n"/>
    </row>
    <row r="48" ht="15" customHeight="1">
      <c r="A48" s="2" t="n"/>
      <c r="B48" s="47" t="inlineStr">
        <is>
          <t>3.5</t>
        </is>
      </c>
      <c r="C48" s="46" t="inlineStr">
        <is>
          <t>Stairs - Bldg. 2</t>
        </is>
      </c>
      <c r="D48" s="46" t="inlineStr">
        <is>
          <t>Task</t>
        </is>
      </c>
      <c r="E48" s="46" t="inlineStr">
        <is>
          <t>Procurement</t>
        </is>
      </c>
      <c r="F48" s="50" t="inlineStr">
        <is>
          <t>Not Started</t>
        </is>
      </c>
      <c r="G48" s="50" t="inlineStr">
        <is>
          <t>Normal</t>
        </is>
      </c>
      <c r="H48" s="63" t="n">
        <v>0</v>
      </c>
      <c r="I48" s="54" t="n">
        <v>46204</v>
      </c>
      <c r="J48" s="54" t="n">
        <v>46211</v>
      </c>
      <c r="K48" s="46" t="inlineStr"/>
      <c r="L48" s="49" t="inlineStr"/>
      <c r="M48" s="2" t="n"/>
      <c r="N48" s="2" t="n"/>
    </row>
    <row r="49" ht="15" customHeight="1">
      <c r="A49" s="2" t="n"/>
      <c r="B49" s="41" t="inlineStr">
        <is>
          <t>3.2</t>
        </is>
      </c>
      <c r="C49" s="40" t="inlineStr">
        <is>
          <t>Roof Access Ladders - Bldg. 1 &amp; 2</t>
        </is>
      </c>
      <c r="D49" s="40" t="inlineStr">
        <is>
          <t>Task</t>
        </is>
      </c>
      <c r="E49" s="40" t="inlineStr">
        <is>
          <t>Procurement</t>
        </is>
      </c>
      <c r="F49" s="50" t="inlineStr">
        <is>
          <t>Not Started</t>
        </is>
      </c>
      <c r="G49" s="50" t="inlineStr">
        <is>
          <t>Normal</t>
        </is>
      </c>
      <c r="H49" s="61" t="n">
        <v>0</v>
      </c>
      <c r="I49" s="53" t="n">
        <v>46204</v>
      </c>
      <c r="J49" s="53" t="n">
        <v>46211</v>
      </c>
      <c r="K49" s="40" t="inlineStr"/>
      <c r="L49" s="44" t="inlineStr"/>
      <c r="M49" s="2" t="n"/>
      <c r="N49" s="2" t="n"/>
    </row>
    <row r="50" ht="15" customHeight="1">
      <c r="A50" s="2" t="n"/>
      <c r="B50" s="47" t="inlineStr">
        <is>
          <t>3.13</t>
        </is>
      </c>
      <c r="C50" s="46" t="inlineStr">
        <is>
          <t>Joists / Deck - Bldg. 2</t>
        </is>
      </c>
      <c r="D50" s="46" t="inlineStr">
        <is>
          <t>Task</t>
        </is>
      </c>
      <c r="E50" s="46" t="inlineStr">
        <is>
          <t>Procurement</t>
        </is>
      </c>
      <c r="F50" s="43" t="inlineStr">
        <is>
          <t>Complete</t>
        </is>
      </c>
      <c r="G50" s="52" t="inlineStr">
        <is>
          <t>Critical</t>
        </is>
      </c>
      <c r="H50" s="63" t="n">
        <v>100</v>
      </c>
      <c r="I50" s="54" t="n">
        <v>46204</v>
      </c>
      <c r="J50" s="54" t="n">
        <v>46204</v>
      </c>
      <c r="K50" s="46" t="inlineStr"/>
      <c r="L50" s="49" t="inlineStr"/>
      <c r="M50" s="2" t="n"/>
      <c r="N50" s="2" t="n"/>
    </row>
    <row r="51" ht="15" customHeight="1">
      <c r="A51" s="2" t="n"/>
      <c r="B51" s="41" t="inlineStr">
        <is>
          <t>4.7</t>
        </is>
      </c>
      <c r="C51" s="40" t="inlineStr">
        <is>
          <t>Balcony Rails - Bldg. 1</t>
        </is>
      </c>
      <c r="D51" s="40" t="inlineStr">
        <is>
          <t>Fabrication</t>
        </is>
      </c>
      <c r="E51" s="40" t="inlineStr">
        <is>
          <t>Fabrication</t>
        </is>
      </c>
      <c r="F51" s="50" t="inlineStr">
        <is>
          <t>Not Started</t>
        </is>
      </c>
      <c r="G51" s="50" t="inlineStr">
        <is>
          <t>Normal</t>
        </is>
      </c>
      <c r="H51" s="61" t="n">
        <v>0</v>
      </c>
      <c r="I51" s="53" t="n">
        <v>46205</v>
      </c>
      <c r="J51" s="53" t="n">
        <v>46224</v>
      </c>
      <c r="K51" s="40" t="inlineStr"/>
      <c r="L51" s="44" t="inlineStr"/>
      <c r="M51" s="2" t="n"/>
      <c r="N51" s="2" t="n"/>
    </row>
    <row r="52" ht="15" customHeight="1">
      <c r="A52" s="2" t="n"/>
      <c r="B52" s="47" t="inlineStr">
        <is>
          <t>4.13</t>
        </is>
      </c>
      <c r="C52" s="46" t="inlineStr">
        <is>
          <t>Joists / Deck - Bldg. 2</t>
        </is>
      </c>
      <c r="D52" s="46" t="inlineStr">
        <is>
          <t>Task</t>
        </is>
      </c>
      <c r="E52" s="46" t="inlineStr">
        <is>
          <t>Fabrication</t>
        </is>
      </c>
      <c r="F52" s="55" t="inlineStr">
        <is>
          <t>In Progress</t>
        </is>
      </c>
      <c r="G52" s="52" t="inlineStr">
        <is>
          <t>Critical</t>
        </is>
      </c>
      <c r="H52" s="63" t="n">
        <v>37</v>
      </c>
      <c r="I52" s="54" t="n">
        <v>46205</v>
      </c>
      <c r="J52" s="54" t="n">
        <v>46214</v>
      </c>
      <c r="K52" s="46" t="inlineStr"/>
      <c r="L52" s="49" t="inlineStr"/>
      <c r="M52" s="2" t="n"/>
      <c r="N52" s="2" t="n"/>
    </row>
    <row r="53" ht="15" customHeight="1">
      <c r="A53" s="2" t="n"/>
      <c r="B53" s="41" t="inlineStr">
        <is>
          <t>4.8</t>
        </is>
      </c>
      <c r="C53" s="40" t="inlineStr">
        <is>
          <t>Balcony Rails - Bldg. 2</t>
        </is>
      </c>
      <c r="D53" s="40" t="inlineStr">
        <is>
          <t>Fabrication</t>
        </is>
      </c>
      <c r="E53" s="40" t="inlineStr">
        <is>
          <t>Fabrication</t>
        </is>
      </c>
      <c r="F53" s="50" t="inlineStr">
        <is>
          <t>Not Started</t>
        </is>
      </c>
      <c r="G53" s="50" t="inlineStr">
        <is>
          <t>Normal</t>
        </is>
      </c>
      <c r="H53" s="61" t="n">
        <v>0</v>
      </c>
      <c r="I53" s="53" t="n">
        <v>46205</v>
      </c>
      <c r="J53" s="53" t="n">
        <v>46224</v>
      </c>
      <c r="K53" s="40" t="inlineStr"/>
      <c r="L53" s="44" t="inlineStr"/>
      <c r="M53" s="2" t="n"/>
      <c r="N53" s="2" t="n"/>
    </row>
    <row r="54" ht="15" customHeight="1">
      <c r="A54" s="2" t="n"/>
      <c r="B54" s="47" t="inlineStr">
        <is>
          <t>4.7</t>
        </is>
      </c>
      <c r="C54" s="46" t="inlineStr">
        <is>
          <t>Main Steel - Bldg. 1</t>
        </is>
      </c>
      <c r="D54" s="46" t="inlineStr">
        <is>
          <t>Submittal</t>
        </is>
      </c>
      <c r="E54" s="46" t="inlineStr">
        <is>
          <t>Fabrication</t>
        </is>
      </c>
      <c r="F54" s="55" t="inlineStr">
        <is>
          <t>In Progress</t>
        </is>
      </c>
      <c r="G54" s="50" t="inlineStr">
        <is>
          <t>Normal</t>
        </is>
      </c>
      <c r="H54" s="63" t="n">
        <v>14</v>
      </c>
      <c r="I54" s="54" t="n">
        <v>46205</v>
      </c>
      <c r="J54" s="54" t="n">
        <v>46241</v>
      </c>
      <c r="K54" s="46" t="inlineStr"/>
      <c r="L54" s="49" t="inlineStr"/>
      <c r="M54" s="2" t="n"/>
      <c r="N54" s="2" t="n"/>
    </row>
    <row r="55" ht="15" customHeight="1">
      <c r="A55" s="2" t="n"/>
      <c r="B55" s="41" t="inlineStr">
        <is>
          <t>6.11</t>
        </is>
      </c>
      <c r="C55" s="40" t="inlineStr">
        <is>
          <t>Main Steel - Bldg. 1</t>
        </is>
      </c>
      <c r="D55" s="40" t="inlineStr">
        <is>
          <t>Install</t>
        </is>
      </c>
      <c r="E55" s="40" t="inlineStr">
        <is>
          <t>Installation</t>
        </is>
      </c>
      <c r="F55" s="50" t="inlineStr">
        <is>
          <t>Not Started</t>
        </is>
      </c>
      <c r="G55" s="50" t="inlineStr">
        <is>
          <t>Normal</t>
        </is>
      </c>
      <c r="H55" s="61" t="n">
        <v>0</v>
      </c>
      <c r="I55" s="53" t="n">
        <v>46205</v>
      </c>
      <c r="J55" s="53" t="n">
        <v>46215</v>
      </c>
      <c r="K55" s="40" t="inlineStr"/>
      <c r="L55" s="44" t="inlineStr"/>
      <c r="M55" s="2" t="n"/>
      <c r="N55" s="2" t="n"/>
    </row>
    <row r="56" ht="15" customHeight="1">
      <c r="A56" s="2" t="n"/>
      <c r="B56" s="47" t="inlineStr">
        <is>
          <t>4.5</t>
        </is>
      </c>
      <c r="C56" s="46" t="inlineStr">
        <is>
          <t>Roof Access Ladders - Bldg. 1 &amp; 2</t>
        </is>
      </c>
      <c r="D56" s="46" t="inlineStr">
        <is>
          <t>Fabrication</t>
        </is>
      </c>
      <c r="E56" s="46" t="inlineStr">
        <is>
          <t>Fabrication</t>
        </is>
      </c>
      <c r="F56" s="50" t="inlineStr">
        <is>
          <t>Not Started</t>
        </is>
      </c>
      <c r="G56" s="50" t="inlineStr">
        <is>
          <t>Normal</t>
        </is>
      </c>
      <c r="H56" s="63" t="n">
        <v>0</v>
      </c>
      <c r="I56" s="54" t="n">
        <v>46212</v>
      </c>
      <c r="J56" s="54" t="n">
        <v>46217</v>
      </c>
      <c r="K56" s="46" t="inlineStr"/>
      <c r="L56" s="49" t="inlineStr"/>
      <c r="M56" s="2" t="n"/>
      <c r="N56" s="2" t="n"/>
    </row>
    <row r="57" ht="15" customHeight="1">
      <c r="A57" s="2" t="n"/>
      <c r="B57" s="41" t="inlineStr">
        <is>
          <t>4.12</t>
        </is>
      </c>
      <c r="C57" s="40" t="inlineStr">
        <is>
          <t>Stairs - Bldg. 2</t>
        </is>
      </c>
      <c r="D57" s="40" t="inlineStr">
        <is>
          <t>Fabrication</t>
        </is>
      </c>
      <c r="E57" s="40" t="inlineStr">
        <is>
          <t>Fabrication</t>
        </is>
      </c>
      <c r="F57" s="50" t="inlineStr">
        <is>
          <t>Not Started</t>
        </is>
      </c>
      <c r="G57" s="50" t="inlineStr">
        <is>
          <t>Normal</t>
        </is>
      </c>
      <c r="H57" s="61" t="n">
        <v>0</v>
      </c>
      <c r="I57" s="53" t="n">
        <v>46212</v>
      </c>
      <c r="J57" s="53" t="n">
        <v>46231</v>
      </c>
      <c r="K57" s="40" t="inlineStr"/>
      <c r="L57" s="44" t="inlineStr"/>
      <c r="M57" s="2" t="n"/>
      <c r="N57" s="2" t="n"/>
    </row>
    <row r="58" ht="15" customHeight="1">
      <c r="A58" s="2" t="n"/>
      <c r="B58" s="47" t="inlineStr">
        <is>
          <t>6.7</t>
        </is>
      </c>
      <c r="C58" s="46" t="inlineStr">
        <is>
          <t>Anchor Bolts - Bldg. 1 &amp; 2</t>
        </is>
      </c>
      <c r="D58" s="46" t="inlineStr">
        <is>
          <t>Install</t>
        </is>
      </c>
      <c r="E58" s="46" t="inlineStr">
        <is>
          <t>Installation</t>
        </is>
      </c>
      <c r="F58" s="43" t="inlineStr">
        <is>
          <t>Complete</t>
        </is>
      </c>
      <c r="G58" s="50" t="inlineStr">
        <is>
          <t>Normal</t>
        </is>
      </c>
      <c r="H58" s="63" t="n">
        <v>100</v>
      </c>
      <c r="I58" s="54" t="n">
        <v>46212</v>
      </c>
      <c r="J58" s="54" t="n">
        <v>46212</v>
      </c>
      <c r="K58" s="46" t="inlineStr"/>
      <c r="L58" s="49" t="inlineStr"/>
      <c r="M58" s="2" t="n"/>
      <c r="N58" s="2" t="n"/>
    </row>
    <row r="59" ht="15" customHeight="1">
      <c r="A59" s="2" t="n"/>
      <c r="B59" s="41" t="inlineStr">
        <is>
          <t>4.11</t>
        </is>
      </c>
      <c r="C59" s="40" t="inlineStr">
        <is>
          <t>Stairs - Bldg. 1</t>
        </is>
      </c>
      <c r="D59" s="40" t="inlineStr">
        <is>
          <t>Fabrication</t>
        </is>
      </c>
      <c r="E59" s="40" t="inlineStr">
        <is>
          <t>Fabrication</t>
        </is>
      </c>
      <c r="F59" s="50" t="inlineStr">
        <is>
          <t>Not Started</t>
        </is>
      </c>
      <c r="G59" s="50" t="inlineStr">
        <is>
          <t>Normal</t>
        </is>
      </c>
      <c r="H59" s="61" t="n">
        <v>0</v>
      </c>
      <c r="I59" s="53" t="n">
        <v>46212</v>
      </c>
      <c r="J59" s="53" t="n">
        <v>46231</v>
      </c>
      <c r="K59" s="40" t="inlineStr"/>
      <c r="L59" s="44" t="inlineStr"/>
      <c r="M59" s="2" t="n"/>
      <c r="N59" s="2" t="n"/>
    </row>
    <row r="60" ht="15" customHeight="1">
      <c r="A60" s="2" t="n"/>
      <c r="B60" s="47" t="inlineStr">
        <is>
          <t>5.6</t>
        </is>
      </c>
      <c r="C60" s="46" t="inlineStr">
        <is>
          <t>Joists / Deck - Bldg. 1</t>
        </is>
      </c>
      <c r="D60" s="46" t="inlineStr">
        <is>
          <t>Milestone</t>
        </is>
      </c>
      <c r="E60" s="46" t="inlineStr">
        <is>
          <t>Delivery</t>
        </is>
      </c>
      <c r="F60" s="43" t="inlineStr">
        <is>
          <t>Complete</t>
        </is>
      </c>
      <c r="G60" s="52" t="inlineStr">
        <is>
          <t>Critical</t>
        </is>
      </c>
      <c r="H60" s="63" t="n">
        <v>100</v>
      </c>
      <c r="I60" s="54" t="n">
        <v>46212</v>
      </c>
      <c r="J60" s="54" t="n">
        <v>46212</v>
      </c>
      <c r="K60" s="46" t="inlineStr"/>
      <c r="L60" s="49" t="inlineStr"/>
      <c r="M60" s="2" t="n"/>
      <c r="N60" s="2" t="n"/>
    </row>
    <row r="61" ht="15" customHeight="1">
      <c r="A61" s="2" t="n"/>
      <c r="B61" s="41" t="inlineStr">
        <is>
          <t>6.2</t>
        </is>
      </c>
      <c r="C61" s="40" t="inlineStr">
        <is>
          <t>Joists / Deck - Bldg. 1</t>
        </is>
      </c>
      <c r="D61" s="40" t="inlineStr">
        <is>
          <t>Task</t>
        </is>
      </c>
      <c r="E61" s="40" t="inlineStr">
        <is>
          <t>Installation</t>
        </is>
      </c>
      <c r="F61" s="50" t="inlineStr">
        <is>
          <t>Not Started</t>
        </is>
      </c>
      <c r="G61" s="50" t="inlineStr">
        <is>
          <t>Normal</t>
        </is>
      </c>
      <c r="H61" s="61" t="n">
        <v>0</v>
      </c>
      <c r="I61" s="53" t="n">
        <v>46213</v>
      </c>
      <c r="J61" s="53" t="n">
        <v>46215</v>
      </c>
      <c r="K61" s="40" t="inlineStr"/>
      <c r="L61" s="44" t="inlineStr"/>
      <c r="M61" s="2" t="n"/>
      <c r="N61" s="2" t="n"/>
    </row>
    <row r="62" ht="15" customHeight="1">
      <c r="A62" s="2" t="n"/>
      <c r="B62" s="47" t="inlineStr">
        <is>
          <t>6.2</t>
        </is>
      </c>
      <c r="C62" s="46" t="inlineStr">
        <is>
          <t>Joists / Deck - Bldg. 2</t>
        </is>
      </c>
      <c r="D62" s="46" t="inlineStr">
        <is>
          <t>Submittal</t>
        </is>
      </c>
      <c r="E62" s="46" t="inlineStr">
        <is>
          <t>Installation</t>
        </is>
      </c>
      <c r="F62" s="50" t="inlineStr">
        <is>
          <t>Not Started</t>
        </is>
      </c>
      <c r="G62" s="52" t="inlineStr">
        <is>
          <t>Critical</t>
        </is>
      </c>
      <c r="H62" s="63" t="n">
        <v>0</v>
      </c>
      <c r="I62" s="54" t="n">
        <v>46216</v>
      </c>
      <c r="J62" s="54" t="n">
        <v>46218</v>
      </c>
      <c r="K62" s="46" t="inlineStr"/>
      <c r="L62" s="49" t="inlineStr"/>
      <c r="M62" s="2" t="n"/>
      <c r="N62" s="2" t="n"/>
    </row>
    <row r="63" ht="15" customHeight="1">
      <c r="A63" s="2" t="n"/>
      <c r="B63" s="41" t="inlineStr">
        <is>
          <t>5.15</t>
        </is>
      </c>
      <c r="C63" s="40" t="inlineStr">
        <is>
          <t>Joists / Deck - Bldg. 2</t>
        </is>
      </c>
      <c r="D63" s="40" t="inlineStr">
        <is>
          <t>Task</t>
        </is>
      </c>
      <c r="E63" s="40" t="inlineStr">
        <is>
          <t>Delivery</t>
        </is>
      </c>
      <c r="F63" s="50" t="inlineStr">
        <is>
          <t>Not Started</t>
        </is>
      </c>
      <c r="G63" s="52" t="inlineStr">
        <is>
          <t>Critical</t>
        </is>
      </c>
      <c r="H63" s="61" t="n">
        <v>0</v>
      </c>
      <c r="I63" s="53" t="n">
        <v>46216</v>
      </c>
      <c r="J63" s="53" t="n">
        <v>46216</v>
      </c>
      <c r="K63" s="40" t="inlineStr"/>
      <c r="L63" s="44" t="inlineStr"/>
      <c r="M63" s="2" t="n"/>
      <c r="N63" s="2" t="n"/>
    </row>
    <row r="64" ht="15" customHeight="1">
      <c r="A64" s="2" t="n"/>
      <c r="B64" s="47" t="inlineStr">
        <is>
          <t>6.15</t>
        </is>
      </c>
      <c r="C64" s="46" t="inlineStr">
        <is>
          <t>Joists / Deck - Bldg. 2</t>
        </is>
      </c>
      <c r="D64" s="46" t="inlineStr">
        <is>
          <t>Task</t>
        </is>
      </c>
      <c r="E64" s="46" t="inlineStr">
        <is>
          <t>Installation</t>
        </is>
      </c>
      <c r="F64" s="50" t="inlineStr">
        <is>
          <t>Not Started</t>
        </is>
      </c>
      <c r="G64" s="50" t="inlineStr">
        <is>
          <t>Normal</t>
        </is>
      </c>
      <c r="H64" s="63" t="n">
        <v>0</v>
      </c>
      <c r="I64" s="54" t="n">
        <v>46217</v>
      </c>
      <c r="J64" s="54" t="n">
        <v>46221</v>
      </c>
      <c r="K64" s="46" t="inlineStr"/>
      <c r="L64" s="49" t="inlineStr"/>
      <c r="M64" s="2" t="n"/>
      <c r="N64" s="2" t="n"/>
    </row>
    <row r="65" ht="15" customHeight="1">
      <c r="A65" s="2" t="n"/>
      <c r="B65" s="41" t="inlineStr">
        <is>
          <t>5.10</t>
        </is>
      </c>
      <c r="C65" s="40" t="inlineStr">
        <is>
          <t>Roof Access Ladders - Bldg. 1 &amp; 2</t>
        </is>
      </c>
      <c r="D65" s="40" t="inlineStr">
        <is>
          <t>Delivery</t>
        </is>
      </c>
      <c r="E65" s="40" t="inlineStr">
        <is>
          <t>Delivery</t>
        </is>
      </c>
      <c r="F65" s="50" t="inlineStr">
        <is>
          <t>Not Started</t>
        </is>
      </c>
      <c r="G65" s="50" t="inlineStr">
        <is>
          <t>Normal</t>
        </is>
      </c>
      <c r="H65" s="61" t="n">
        <v>0</v>
      </c>
      <c r="I65" s="53" t="n">
        <v>46218</v>
      </c>
      <c r="J65" s="53" t="n">
        <v>46243</v>
      </c>
      <c r="K65" s="40" t="inlineStr"/>
      <c r="L65" s="44" t="inlineStr"/>
      <c r="M65" s="2" t="n"/>
      <c r="N65" s="2" t="n"/>
    </row>
    <row r="66" ht="15" customHeight="1">
      <c r="A66" s="2" t="n"/>
      <c r="B66" s="47" t="inlineStr">
        <is>
          <t>5.9</t>
        </is>
      </c>
      <c r="C66" s="46" t="inlineStr">
        <is>
          <t>Site Misc. Steel</t>
        </is>
      </c>
      <c r="D66" s="46" t="inlineStr">
        <is>
          <t>Delivery</t>
        </is>
      </c>
      <c r="E66" s="46" t="inlineStr">
        <is>
          <t>Delivery</t>
        </is>
      </c>
      <c r="F66" s="50" t="inlineStr">
        <is>
          <t>Not Started</t>
        </is>
      </c>
      <c r="G66" s="50" t="inlineStr">
        <is>
          <t>Normal</t>
        </is>
      </c>
      <c r="H66" s="63" t="n">
        <v>0</v>
      </c>
      <c r="I66" s="54" t="n">
        <v>46220</v>
      </c>
      <c r="J66" s="54" t="n">
        <v>46245</v>
      </c>
      <c r="K66" s="46" t="inlineStr"/>
      <c r="L66" s="49" t="inlineStr"/>
      <c r="M66" s="2" t="n"/>
      <c r="N66" s="2" t="n"/>
    </row>
    <row r="67" ht="15" customHeight="1">
      <c r="A67" s="2" t="n"/>
      <c r="B67" s="41" t="inlineStr">
        <is>
          <t>5.8</t>
        </is>
      </c>
      <c r="C67" s="40" t="inlineStr">
        <is>
          <t>Balcony Rails - Bldg. 2</t>
        </is>
      </c>
      <c r="D67" s="40" t="inlineStr">
        <is>
          <t>Delivery</t>
        </is>
      </c>
      <c r="E67" s="40" t="inlineStr">
        <is>
          <t>Delivery</t>
        </is>
      </c>
      <c r="F67" s="50" t="inlineStr">
        <is>
          <t>Not Started</t>
        </is>
      </c>
      <c r="G67" s="50" t="inlineStr">
        <is>
          <t>Normal</t>
        </is>
      </c>
      <c r="H67" s="61" t="n">
        <v>0</v>
      </c>
      <c r="I67" s="53" t="n">
        <v>46225</v>
      </c>
      <c r="J67" s="53" t="n">
        <v>46250</v>
      </c>
      <c r="K67" s="40" t="inlineStr"/>
      <c r="L67" s="44" t="inlineStr"/>
      <c r="M67" s="2" t="n"/>
      <c r="N67" s="2" t="n"/>
    </row>
    <row r="68" ht="15" customHeight="1">
      <c r="A68" s="2" t="n"/>
      <c r="B68" s="47" t="inlineStr">
        <is>
          <t>5.7</t>
        </is>
      </c>
      <c r="C68" s="46" t="inlineStr">
        <is>
          <t>Balcony Rails - Bldg. 1</t>
        </is>
      </c>
      <c r="D68" s="46" t="inlineStr">
        <is>
          <t>Delivery</t>
        </is>
      </c>
      <c r="E68" s="46" t="inlineStr">
        <is>
          <t>Delivery</t>
        </is>
      </c>
      <c r="F68" s="50" t="inlineStr">
        <is>
          <t>Not Started</t>
        </is>
      </c>
      <c r="G68" s="50" t="inlineStr">
        <is>
          <t>Normal</t>
        </is>
      </c>
      <c r="H68" s="63" t="n">
        <v>0</v>
      </c>
      <c r="I68" s="54" t="n">
        <v>46225</v>
      </c>
      <c r="J68" s="54" t="n">
        <v>46250</v>
      </c>
      <c r="K68" s="46" t="inlineStr"/>
      <c r="L68" s="49" t="inlineStr"/>
      <c r="M68" s="2" t="n"/>
      <c r="N68" s="2" t="n"/>
    </row>
    <row r="69" ht="15" customHeight="1">
      <c r="A69" s="2" t="n"/>
      <c r="B69" s="41" t="inlineStr">
        <is>
          <t>6.9</t>
        </is>
      </c>
      <c r="C69" s="40" t="inlineStr">
        <is>
          <t>Main Steel - Bldg. 2</t>
        </is>
      </c>
      <c r="D69" s="40" t="inlineStr">
        <is>
          <t>Install</t>
        </is>
      </c>
      <c r="E69" s="40" t="inlineStr">
        <is>
          <t>Installation</t>
        </is>
      </c>
      <c r="F69" s="50" t="inlineStr">
        <is>
          <t>Not Started</t>
        </is>
      </c>
      <c r="G69" s="50" t="inlineStr">
        <is>
          <t>Normal</t>
        </is>
      </c>
      <c r="H69" s="61" t="n">
        <v>0</v>
      </c>
      <c r="I69" s="53" t="n">
        <v>46225</v>
      </c>
      <c r="J69" s="53" t="n">
        <v>46230</v>
      </c>
      <c r="K69" s="40" t="inlineStr"/>
      <c r="L69" s="44" t="inlineStr"/>
      <c r="M69" s="2" t="n"/>
      <c r="N69" s="2" t="n"/>
    </row>
    <row r="70" ht="15" customHeight="1">
      <c r="A70" s="2" t="n"/>
      <c r="B70" s="47" t="inlineStr">
        <is>
          <t>5.11</t>
        </is>
      </c>
      <c r="C70" s="46" t="inlineStr">
        <is>
          <t>Stairs - Bldg. 1</t>
        </is>
      </c>
      <c r="D70" s="46" t="inlineStr">
        <is>
          <t>Delivery</t>
        </is>
      </c>
      <c r="E70" s="46" t="inlineStr">
        <is>
          <t>Delivery</t>
        </is>
      </c>
      <c r="F70" s="50" t="inlineStr">
        <is>
          <t>Not Started</t>
        </is>
      </c>
      <c r="G70" s="50" t="inlineStr">
        <is>
          <t>Normal</t>
        </is>
      </c>
      <c r="H70" s="63" t="n">
        <v>0</v>
      </c>
      <c r="I70" s="54" t="n">
        <v>46232</v>
      </c>
      <c r="J70" s="54" t="n">
        <v>46257</v>
      </c>
      <c r="K70" s="46" t="inlineStr"/>
      <c r="L70" s="49" t="inlineStr"/>
      <c r="M70" s="2" t="n"/>
      <c r="N70" s="2" t="n"/>
    </row>
    <row r="71" ht="15" customHeight="1">
      <c r="A71" s="2" t="n"/>
      <c r="B71" s="41" t="inlineStr">
        <is>
          <t>5.12</t>
        </is>
      </c>
      <c r="C71" s="40" t="inlineStr">
        <is>
          <t>Stairs - Bldg. 2</t>
        </is>
      </c>
      <c r="D71" s="40" t="inlineStr">
        <is>
          <t>Delivery</t>
        </is>
      </c>
      <c r="E71" s="40" t="inlineStr">
        <is>
          <t>Delivery</t>
        </is>
      </c>
      <c r="F71" s="50" t="inlineStr">
        <is>
          <t>Not Started</t>
        </is>
      </c>
      <c r="G71" s="50" t="inlineStr">
        <is>
          <t>Normal</t>
        </is>
      </c>
      <c r="H71" s="61" t="n">
        <v>0</v>
      </c>
      <c r="I71" s="53" t="n">
        <v>46232</v>
      </c>
      <c r="J71" s="53" t="n">
        <v>46246</v>
      </c>
      <c r="K71" s="40" t="inlineStr"/>
      <c r="L71" s="44" t="inlineStr"/>
      <c r="M71" s="2" t="n"/>
      <c r="N71" s="2" t="n"/>
    </row>
    <row r="72" ht="15" customHeight="1">
      <c r="A72" s="2" t="n"/>
      <c r="B72" s="47" t="inlineStr">
        <is>
          <t>3.9</t>
        </is>
      </c>
      <c r="C72" s="46" t="inlineStr">
        <is>
          <t>Main Steel - Bldg. 1</t>
        </is>
      </c>
      <c r="D72" s="46" t="inlineStr">
        <is>
          <t>Task</t>
        </is>
      </c>
      <c r="E72" s="46" t="inlineStr">
        <is>
          <t>Procurement</t>
        </is>
      </c>
      <c r="F72" s="43" t="inlineStr">
        <is>
          <t>Complete</t>
        </is>
      </c>
      <c r="G72" s="64" t="inlineStr">
        <is>
          <t>High</t>
        </is>
      </c>
      <c r="H72" s="63" t="n">
        <v>100</v>
      </c>
      <c r="I72" s="54" t="n">
        <v>46242</v>
      </c>
      <c r="J72" s="54" t="n">
        <v>46247</v>
      </c>
      <c r="K72" s="46" t="inlineStr"/>
      <c r="L72" s="49" t="inlineStr"/>
      <c r="M72" s="2" t="n"/>
      <c r="N72" s="2" t="n"/>
    </row>
    <row r="73" ht="15" customHeight="1">
      <c r="A73" s="2" t="n"/>
      <c r="B73" s="41" t="inlineStr">
        <is>
          <t>6.9</t>
        </is>
      </c>
      <c r="C73" s="40" t="inlineStr">
        <is>
          <t>Roof Access Ladder - Bldg. 1 &amp; 2</t>
        </is>
      </c>
      <c r="D73" s="40" t="inlineStr">
        <is>
          <t>Install</t>
        </is>
      </c>
      <c r="E73" s="40" t="inlineStr">
        <is>
          <t>Installation</t>
        </is>
      </c>
      <c r="F73" s="50" t="inlineStr">
        <is>
          <t>Not Started</t>
        </is>
      </c>
      <c r="G73" s="50" t="inlineStr">
        <is>
          <t>Normal</t>
        </is>
      </c>
      <c r="H73" s="61" t="n">
        <v>0</v>
      </c>
      <c r="I73" s="53" t="n">
        <v>46244</v>
      </c>
      <c r="J73" s="53" t="n">
        <v>46244</v>
      </c>
      <c r="K73" s="40" t="inlineStr"/>
      <c r="L73" s="44" t="inlineStr"/>
      <c r="M73" s="2" t="n"/>
      <c r="N73" s="2" t="n"/>
    </row>
    <row r="74" ht="15" customHeight="1">
      <c r="A74" s="2" t="n"/>
      <c r="B74" s="47" t="inlineStr">
        <is>
          <t>6.8</t>
        </is>
      </c>
      <c r="C74" s="46" t="inlineStr">
        <is>
          <t>Site Misc. Steel</t>
        </is>
      </c>
      <c r="D74" s="46" t="inlineStr">
        <is>
          <t>Install</t>
        </is>
      </c>
      <c r="E74" s="46" t="inlineStr">
        <is>
          <t>Installation</t>
        </is>
      </c>
      <c r="F74" s="50" t="inlineStr">
        <is>
          <t>Not Started</t>
        </is>
      </c>
      <c r="G74" s="50" t="inlineStr">
        <is>
          <t>Normal</t>
        </is>
      </c>
      <c r="H74" s="63" t="n">
        <v>0</v>
      </c>
      <c r="I74" s="54" t="n">
        <v>46246</v>
      </c>
      <c r="J74" s="54" t="n">
        <v>46246</v>
      </c>
      <c r="K74" s="46" t="inlineStr"/>
      <c r="L74" s="49" t="inlineStr"/>
      <c r="M74" s="2" t="n"/>
      <c r="N74" s="2" t="n"/>
    </row>
    <row r="75" ht="15" customHeight="1">
      <c r="A75" s="2" t="n"/>
      <c r="B75" s="41" t="inlineStr">
        <is>
          <t>6.11</t>
        </is>
      </c>
      <c r="C75" s="40" t="inlineStr">
        <is>
          <t>Stairs - Bldg. 2</t>
        </is>
      </c>
      <c r="D75" s="40" t="inlineStr">
        <is>
          <t>Install</t>
        </is>
      </c>
      <c r="E75" s="40" t="inlineStr">
        <is>
          <t>Installation</t>
        </is>
      </c>
      <c r="F75" s="50" t="inlineStr">
        <is>
          <t>Not Started</t>
        </is>
      </c>
      <c r="G75" s="50" t="inlineStr">
        <is>
          <t>Normal</t>
        </is>
      </c>
      <c r="H75" s="61" t="n">
        <v>0</v>
      </c>
      <c r="I75" s="53" t="n">
        <v>46247</v>
      </c>
      <c r="J75" s="53" t="n">
        <v>46247</v>
      </c>
      <c r="K75" s="40" t="inlineStr"/>
      <c r="L75" s="44" t="inlineStr"/>
      <c r="M75" s="2" t="n"/>
      <c r="N75" s="2" t="n"/>
    </row>
    <row r="76" ht="15" customHeight="1">
      <c r="A76" s="2" t="n"/>
      <c r="B76" s="47" t="inlineStr">
        <is>
          <t>6.7</t>
        </is>
      </c>
      <c r="C76" s="46" t="inlineStr">
        <is>
          <t>Balcony Rails - Bldg. 2</t>
        </is>
      </c>
      <c r="D76" s="46" t="inlineStr">
        <is>
          <t>Install</t>
        </is>
      </c>
      <c r="E76" s="46" t="inlineStr">
        <is>
          <t>Installation</t>
        </is>
      </c>
      <c r="F76" s="50" t="inlineStr">
        <is>
          <t>Not Started</t>
        </is>
      </c>
      <c r="G76" s="50" t="inlineStr">
        <is>
          <t>Normal</t>
        </is>
      </c>
      <c r="H76" s="63" t="n">
        <v>0</v>
      </c>
      <c r="I76" s="54" t="n">
        <v>46251</v>
      </c>
      <c r="J76" s="54" t="n">
        <v>46251</v>
      </c>
      <c r="K76" s="46" t="inlineStr"/>
      <c r="L76" s="49" t="inlineStr"/>
      <c r="M76" s="2" t="n"/>
      <c r="N76" s="2" t="n"/>
    </row>
    <row r="77" ht="15" customHeight="1">
      <c r="A77" s="2" t="n"/>
      <c r="B77" s="41" t="inlineStr">
        <is>
          <t>6.6</t>
        </is>
      </c>
      <c r="C77" s="40" t="inlineStr">
        <is>
          <t>Balcony Rails - Bldg. 1</t>
        </is>
      </c>
      <c r="D77" s="40" t="inlineStr">
        <is>
          <t>Install</t>
        </is>
      </c>
      <c r="E77" s="40" t="inlineStr">
        <is>
          <t>Installation</t>
        </is>
      </c>
      <c r="F77" s="50" t="inlineStr">
        <is>
          <t>Not Started</t>
        </is>
      </c>
      <c r="G77" s="50" t="inlineStr">
        <is>
          <t>Normal</t>
        </is>
      </c>
      <c r="H77" s="61" t="n">
        <v>0</v>
      </c>
      <c r="I77" s="53" t="n">
        <v>46251</v>
      </c>
      <c r="J77" s="53" t="n">
        <v>46251</v>
      </c>
      <c r="K77" s="40" t="inlineStr"/>
      <c r="L77" s="44" t="inlineStr"/>
      <c r="M77" s="2" t="n"/>
      <c r="N77" s="2" t="n"/>
    </row>
    <row r="78" ht="15" customHeight="1">
      <c r="A78" s="2" t="n"/>
      <c r="B78" s="47" t="inlineStr">
        <is>
          <t>6.10</t>
        </is>
      </c>
      <c r="C78" s="46" t="inlineStr">
        <is>
          <t>Stairs - Bldg. 1</t>
        </is>
      </c>
      <c r="D78" s="46" t="inlineStr">
        <is>
          <t>Install</t>
        </is>
      </c>
      <c r="E78" s="46" t="inlineStr">
        <is>
          <t>Installation</t>
        </is>
      </c>
      <c r="F78" s="50" t="inlineStr">
        <is>
          <t>Not Started</t>
        </is>
      </c>
      <c r="G78" s="50" t="inlineStr">
        <is>
          <t>Normal</t>
        </is>
      </c>
      <c r="H78" s="63" t="n">
        <v>0</v>
      </c>
      <c r="I78" s="54" t="n">
        <v>46258</v>
      </c>
      <c r="J78" s="54" t="n">
        <v>46258</v>
      </c>
      <c r="K78" s="46" t="inlineStr"/>
      <c r="L78" s="49" t="inlineStr"/>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row r="81">
      <c r="A81" s="2" t="n"/>
      <c r="B81" s="2" t="n"/>
      <c r="C81" s="2" t="n"/>
      <c r="D81" s="2" t="n"/>
      <c r="E81" s="2" t="n"/>
      <c r="F81" s="2" t="n"/>
      <c r="G81" s="2" t="n"/>
      <c r="H81" s="2" t="n"/>
      <c r="I81" s="2" t="n"/>
      <c r="J81" s="2" t="n"/>
      <c r="K81" s="2" t="n"/>
      <c r="L81" s="2" t="n"/>
      <c r="M81" s="2" t="n"/>
      <c r="N81" s="2" t="n"/>
    </row>
    <row r="82">
      <c r="A82" s="2" t="n"/>
      <c r="B82" s="2" t="n"/>
      <c r="C82" s="2" t="n"/>
      <c r="D82" s="2" t="n"/>
      <c r="E82" s="2" t="n"/>
      <c r="F82" s="2" t="n"/>
      <c r="G82" s="2" t="n"/>
      <c r="H82" s="2" t="n"/>
      <c r="I82" s="2" t="n"/>
      <c r="J82" s="2" t="n"/>
      <c r="K82" s="2" t="n"/>
      <c r="L82" s="2" t="n"/>
      <c r="M82" s="2" t="n"/>
      <c r="N82" s="2" t="n"/>
    </row>
  </sheetData>
  <autoFilter ref="B6:L78"/>
  <mergeCells count="4">
    <mergeCell ref="B2:L2"/>
    <mergeCell ref="B4:L4"/>
    <mergeCell ref="B3:L3"/>
    <mergeCell ref="A1:N1"/>
  </mergeCells>
  <conditionalFormatting sqref="H7:H78">
    <cfRule type="dataBar" priority="1">
      <dataBar showValue="1">
        <cfvo type="num" val="0"/>
        <cfvo type="num" val="100"/>
        <color rgb="003B82F6"/>
      </dataBar>
    </cfRule>
  </conditionalFormatting>
  <pageMargins left="0.75" right="0.75" top="1" bottom="1" header="0.5" footer="0.5"/>
</worksheet>
</file>

<file path=xl/worksheets/sheet9.xml><?xml version="1.0" encoding="utf-8"?>
<worksheet xmlns="http://schemas.openxmlformats.org/spreadsheetml/2006/main">
  <sheetPr>
    <tabColor rgb="001F2937"/>
    <outlinePr summaryBelow="1" summaryRight="1"/>
    <pageSetUpPr/>
  </sheetPr>
  <dimension ref="A1:M2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9" customWidth="1" min="2" max="2"/>
    <col width="28" customWidth="1" min="3" max="3"/>
    <col width="13" customWidth="1" min="4" max="4"/>
    <col width="13" customWidth="1" min="5" max="5"/>
    <col width="14" customWidth="1" min="6" max="6"/>
    <col width="15" customWidth="1" min="7" max="7"/>
    <col width="12" customWidth="1" min="8" max="8"/>
    <col width="12" customWidth="1" min="9" max="9"/>
    <col width="11" customWidth="1" min="10" max="10"/>
    <col width="11" customWidth="1" min="11" max="11"/>
    <col width="2.4" customWidth="1" min="12" max="12"/>
    <col width="2.4" customWidth="1" min="13" max="13"/>
  </cols>
  <sheetData>
    <row r="1">
      <c r="A1" s="1" t="n"/>
      <c r="B1" s="2" t="n"/>
      <c r="C1" s="2" t="n"/>
      <c r="D1" s="2" t="n"/>
      <c r="E1" s="2" t="n"/>
      <c r="F1" s="2" t="n"/>
      <c r="G1" s="2" t="n"/>
      <c r="H1" s="2" t="n"/>
      <c r="I1" s="2" t="n"/>
      <c r="J1" s="2" t="n"/>
      <c r="K1" s="2" t="n"/>
      <c r="L1" s="2" t="n"/>
      <c r="M1" s="2" t="n"/>
    </row>
    <row r="2" ht="30" customHeight="1">
      <c r="A2" s="2" t="n"/>
      <c r="B2" s="22" t="inlineStr">
        <is>
          <t>Work Packages</t>
        </is>
      </c>
      <c r="C2" s="2" t="n"/>
      <c r="D2" s="2" t="n"/>
      <c r="E2" s="2" t="n"/>
      <c r="F2" s="2" t="n"/>
      <c r="G2" s="2" t="n"/>
      <c r="H2" s="2" t="n"/>
      <c r="I2" s="2" t="n"/>
      <c r="J2" s="2" t="n"/>
      <c r="K2" s="2" t="n"/>
      <c r="L2" s="2" t="n"/>
      <c r="M2" s="2" t="n"/>
    </row>
    <row r="3" ht="18" customHeight="1">
      <c r="A3" s="2" t="n"/>
      <c r="B3" s="23" t="inlineStr">
        <is>
          <t>15 packages · scoped by area &amp; crew · 61% avg complete</t>
        </is>
      </c>
      <c r="C3" s="2" t="n"/>
      <c r="D3" s="2" t="n"/>
      <c r="E3" s="2" t="n"/>
      <c r="F3" s="2" t="n"/>
      <c r="G3" s="2" t="n"/>
      <c r="H3" s="2" t="n"/>
      <c r="I3" s="2" t="n"/>
      <c r="J3" s="2" t="n"/>
      <c r="K3" s="2" t="n"/>
      <c r="L3" s="2" t="n"/>
      <c r="M3" s="2" t="n"/>
    </row>
    <row r="4" ht="3" customHeight="1">
      <c r="A4" s="2" t="n"/>
      <c r="B4" s="5"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ht="26" customHeight="1">
      <c r="A6" s="2" t="n"/>
      <c r="B6" s="39" t="inlineStr">
        <is>
          <t>WP #</t>
        </is>
      </c>
      <c r="C6" s="38" t="inlineStr">
        <is>
          <t>Package</t>
        </is>
      </c>
      <c r="D6" s="38" t="inlineStr">
        <is>
          <t>Phase</t>
        </is>
      </c>
      <c r="E6" s="38" t="inlineStr">
        <is>
          <t>Status</t>
        </is>
      </c>
      <c r="F6" s="38" t="inlineStr">
        <is>
          <t>% Complete</t>
        </is>
      </c>
      <c r="G6" s="38" t="inlineStr">
        <is>
          <t>Area</t>
        </is>
      </c>
      <c r="H6" s="38" t="inlineStr">
        <is>
          <t>Crew</t>
        </is>
      </c>
      <c r="I6" s="39" t="inlineStr">
        <is>
          <t>Released</t>
        </is>
      </c>
      <c r="J6" s="39" t="inlineStr">
        <is>
          <t>Start</t>
        </is>
      </c>
      <c r="K6" s="39" t="inlineStr">
        <is>
          <t>Finish</t>
        </is>
      </c>
      <c r="L6" s="2" t="n"/>
      <c r="M6" s="2" t="n"/>
    </row>
    <row r="7" ht="15" customHeight="1">
      <c r="A7" s="2" t="n"/>
      <c r="B7" s="41" t="inlineStr">
        <is>
          <t>WP-001</t>
        </is>
      </c>
      <c r="C7" s="40" t="inlineStr">
        <is>
          <t>Anchor Bolts - Bldg. 1 &amp; 2</t>
        </is>
      </c>
      <c r="D7" s="40" t="inlineStr">
        <is>
          <t>Erection</t>
        </is>
      </c>
      <c r="E7" s="43" t="inlineStr">
        <is>
          <t>Complete</t>
        </is>
      </c>
      <c r="F7" s="61" t="n">
        <v>100</v>
      </c>
      <c r="G7" s="40" t="inlineStr">
        <is>
          <t>Buildings 1 &amp; 2</t>
        </is>
      </c>
      <c r="H7" s="40" t="inlineStr">
        <is>
          <t>Rouser</t>
        </is>
      </c>
      <c r="I7" s="53" t="n">
        <v>46114</v>
      </c>
      <c r="J7" s="53" t="n">
        <v>46118</v>
      </c>
      <c r="K7" s="53" t="n">
        <v>46157</v>
      </c>
      <c r="L7" s="2" t="n"/>
      <c r="M7" s="2" t="n"/>
    </row>
    <row r="8" ht="15" customHeight="1">
      <c r="A8" s="2" t="n"/>
      <c r="B8" s="47" t="inlineStr">
        <is>
          <t>WP-002</t>
        </is>
      </c>
      <c r="C8" s="46" t="inlineStr">
        <is>
          <t>Panel Embeds - Bldg. 1</t>
        </is>
      </c>
      <c r="D8" s="46" t="inlineStr">
        <is>
          <t>Erection</t>
        </is>
      </c>
      <c r="E8" s="43" t="inlineStr">
        <is>
          <t>Complete</t>
        </is>
      </c>
      <c r="F8" s="63" t="n">
        <v>100</v>
      </c>
      <c r="G8" s="46" t="inlineStr">
        <is>
          <t>Building 1</t>
        </is>
      </c>
      <c r="H8" s="46" t="inlineStr">
        <is>
          <t>Rouser</t>
        </is>
      </c>
      <c r="I8" s="54" t="n">
        <v>46125</v>
      </c>
      <c r="J8" s="54" t="n">
        <v>46129</v>
      </c>
      <c r="K8" s="54" t="n">
        <v>46174</v>
      </c>
      <c r="L8" s="2" t="n"/>
      <c r="M8" s="2" t="n"/>
    </row>
    <row r="9" ht="15" customHeight="1">
      <c r="A9" s="2" t="n"/>
      <c r="B9" s="41" t="inlineStr">
        <is>
          <t>WP-003</t>
        </is>
      </c>
      <c r="C9" s="40" t="inlineStr">
        <is>
          <t>Panel Embeds - Bldg. 2</t>
        </is>
      </c>
      <c r="D9" s="40" t="inlineStr">
        <is>
          <t>Erection</t>
        </is>
      </c>
      <c r="E9" s="43" t="inlineStr">
        <is>
          <t>Complete</t>
        </is>
      </c>
      <c r="F9" s="61" t="n">
        <v>100</v>
      </c>
      <c r="G9" s="40" t="inlineStr">
        <is>
          <t>Building 2</t>
        </is>
      </c>
      <c r="H9" s="40" t="inlineStr">
        <is>
          <t>Rouser</t>
        </is>
      </c>
      <c r="I9" s="53" t="n">
        <v>46155</v>
      </c>
      <c r="J9" s="53" t="n">
        <v>46155</v>
      </c>
      <c r="K9" s="53" t="n">
        <v>46174</v>
      </c>
      <c r="L9" s="2" t="n"/>
      <c r="M9" s="2" t="n"/>
    </row>
    <row r="10" ht="15" customHeight="1">
      <c r="A10" s="2" t="n"/>
      <c r="B10" s="47" t="inlineStr">
        <is>
          <t>WP-005</t>
        </is>
      </c>
      <c r="C10" s="46" t="inlineStr">
        <is>
          <t>Joists &amp; Deck - Bldg. 1</t>
        </is>
      </c>
      <c r="D10" s="46" t="inlineStr">
        <is>
          <t>Erection</t>
        </is>
      </c>
      <c r="E10" s="51" t="inlineStr">
        <is>
          <t>In Progress</t>
        </is>
      </c>
      <c r="F10" s="63" t="n">
        <v>80</v>
      </c>
      <c r="G10" s="46" t="inlineStr">
        <is>
          <t>Building 1</t>
        </is>
      </c>
      <c r="H10" s="46" t="inlineStr">
        <is>
          <t>New Mill</t>
        </is>
      </c>
      <c r="I10" s="47" t="inlineStr"/>
      <c r="J10" s="54" t="n">
        <v>46192</v>
      </c>
      <c r="K10" s="54" t="n">
        <v>46192</v>
      </c>
      <c r="L10" s="2" t="n"/>
      <c r="M10" s="2" t="n"/>
    </row>
    <row r="11" ht="15" customHeight="1">
      <c r="A11" s="2" t="n"/>
      <c r="B11" s="41" t="inlineStr">
        <is>
          <t>WP-006</t>
        </is>
      </c>
      <c r="C11" s="40" t="inlineStr">
        <is>
          <t>Balcony Rails - Bldg. 1</t>
        </is>
      </c>
      <c r="D11" s="40" t="inlineStr">
        <is>
          <t>Detailing</t>
        </is>
      </c>
      <c r="E11" s="51" t="inlineStr">
        <is>
          <t>In Progress</t>
        </is>
      </c>
      <c r="F11" s="61" t="n">
        <v>50</v>
      </c>
      <c r="G11" s="40" t="inlineStr">
        <is>
          <t>Building 1</t>
        </is>
      </c>
      <c r="H11" s="40" t="inlineStr">
        <is>
          <t>Yashwant</t>
        </is>
      </c>
      <c r="I11" s="41" t="inlineStr"/>
      <c r="J11" s="41" t="inlineStr"/>
      <c r="K11" s="41" t="inlineStr"/>
      <c r="L11" s="2" t="n"/>
      <c r="M11" s="2" t="n"/>
    </row>
    <row r="12" ht="15" customHeight="1">
      <c r="A12" s="2" t="n"/>
      <c r="B12" s="47" t="inlineStr">
        <is>
          <t>WP-007</t>
        </is>
      </c>
      <c r="C12" s="46" t="inlineStr">
        <is>
          <t>Balcony Rails - Bldg, 2</t>
        </is>
      </c>
      <c r="D12" s="46" t="inlineStr">
        <is>
          <t>Detailing</t>
        </is>
      </c>
      <c r="E12" s="51" t="inlineStr">
        <is>
          <t>In Progress</t>
        </is>
      </c>
      <c r="F12" s="63" t="n">
        <v>50</v>
      </c>
      <c r="G12" s="46" t="inlineStr">
        <is>
          <t>Building 2</t>
        </is>
      </c>
      <c r="H12" s="46" t="inlineStr">
        <is>
          <t>Yashwant</t>
        </is>
      </c>
      <c r="I12" s="47" t="inlineStr"/>
      <c r="J12" s="47" t="inlineStr"/>
      <c r="K12" s="47" t="inlineStr"/>
      <c r="L12" s="2" t="n"/>
      <c r="M12" s="2" t="n"/>
    </row>
    <row r="13" ht="15" customHeight="1">
      <c r="A13" s="2" t="n"/>
      <c r="B13" s="41" t="inlineStr">
        <is>
          <t>WP-008</t>
        </is>
      </c>
      <c r="C13" s="40" t="inlineStr">
        <is>
          <t>Roof Access Ladders - Bldg. 1 &amp; 2</t>
        </is>
      </c>
      <c r="D13" s="40" t="inlineStr">
        <is>
          <t>Detailing</t>
        </is>
      </c>
      <c r="E13" s="51" t="inlineStr">
        <is>
          <t>In Progress</t>
        </is>
      </c>
      <c r="F13" s="61" t="n">
        <v>50</v>
      </c>
      <c r="G13" s="40" t="inlineStr">
        <is>
          <t>Buildings 1 &amp; 2</t>
        </is>
      </c>
      <c r="H13" s="40" t="inlineStr">
        <is>
          <t>Yashwant</t>
        </is>
      </c>
      <c r="I13" s="41" t="inlineStr"/>
      <c r="J13" s="41" t="inlineStr"/>
      <c r="K13" s="41" t="inlineStr"/>
      <c r="L13" s="2" t="n"/>
      <c r="M13" s="2" t="n"/>
    </row>
    <row r="14" ht="15" customHeight="1">
      <c r="A14" s="2" t="n"/>
      <c r="B14" s="47" t="inlineStr">
        <is>
          <t>WP-009</t>
        </is>
      </c>
      <c r="C14" s="46" t="inlineStr">
        <is>
          <t>Main Steel - Bldg. 1</t>
        </is>
      </c>
      <c r="D14" s="46" t="inlineStr">
        <is>
          <t>Fabrication</t>
        </is>
      </c>
      <c r="E14" s="51" t="inlineStr">
        <is>
          <t>In Progress</t>
        </is>
      </c>
      <c r="F14" s="63" t="n">
        <v>50</v>
      </c>
      <c r="G14" s="46" t="inlineStr">
        <is>
          <t>Building 1</t>
        </is>
      </c>
      <c r="H14" s="46" t="inlineStr">
        <is>
          <t>Yashwant</t>
        </is>
      </c>
      <c r="I14" s="54" t="n">
        <v>46162</v>
      </c>
      <c r="J14" s="54" t="n">
        <v>46162</v>
      </c>
      <c r="K14" s="54" t="n">
        <v>46204</v>
      </c>
      <c r="L14" s="2" t="n"/>
      <c r="M14" s="2" t="n"/>
    </row>
    <row r="15" ht="15" customHeight="1">
      <c r="A15" s="2" t="n"/>
      <c r="B15" s="41" t="inlineStr">
        <is>
          <t>WP-011</t>
        </is>
      </c>
      <c r="C15" s="40" t="inlineStr">
        <is>
          <t>Main Steel - Bldg. 2</t>
        </is>
      </c>
      <c r="D15" s="40" t="inlineStr">
        <is>
          <t>Fabrication</t>
        </is>
      </c>
      <c r="E15" s="51" t="inlineStr">
        <is>
          <t>In Progress</t>
        </is>
      </c>
      <c r="F15" s="61" t="n">
        <v>50</v>
      </c>
      <c r="G15" s="40" t="inlineStr">
        <is>
          <t>Building 2</t>
        </is>
      </c>
      <c r="H15" s="40" t="inlineStr">
        <is>
          <t>Yashwant</t>
        </is>
      </c>
      <c r="I15" s="53" t="n">
        <v>46171</v>
      </c>
      <c r="J15" s="53" t="n">
        <v>46171</v>
      </c>
      <c r="K15" s="53" t="n">
        <v>46185</v>
      </c>
      <c r="L15" s="2" t="n"/>
      <c r="M15" s="2" t="n"/>
    </row>
    <row r="16" ht="15" customHeight="1">
      <c r="A16" s="2" t="n"/>
      <c r="B16" s="47" t="inlineStr">
        <is>
          <t>WP-012</t>
        </is>
      </c>
      <c r="C16" s="46" t="inlineStr">
        <is>
          <t xml:space="preserve">Site Misc. </t>
        </is>
      </c>
      <c r="D16" s="46" t="inlineStr">
        <is>
          <t>Detailing</t>
        </is>
      </c>
      <c r="E16" s="51" t="inlineStr">
        <is>
          <t>In Progress</t>
        </is>
      </c>
      <c r="F16" s="63" t="n">
        <v>30</v>
      </c>
      <c r="G16" s="46" t="inlineStr">
        <is>
          <t>Buildings 1 &amp; 2</t>
        </is>
      </c>
      <c r="H16" s="46" t="inlineStr">
        <is>
          <t>Yashwant</t>
        </is>
      </c>
      <c r="I16" s="47" t="inlineStr"/>
      <c r="J16" s="47" t="inlineStr"/>
      <c r="K16" s="47" t="inlineStr"/>
      <c r="L16" s="2" t="n"/>
      <c r="M16" s="2" t="n"/>
    </row>
    <row r="17" ht="15" customHeight="1">
      <c r="A17" s="2" t="n"/>
      <c r="B17" s="41" t="inlineStr">
        <is>
          <t>WP-013</t>
        </is>
      </c>
      <c r="C17" s="40" t="inlineStr">
        <is>
          <t>Stairs - Bldg. 1</t>
        </is>
      </c>
      <c r="D17" s="40" t="inlineStr">
        <is>
          <t>Detailing</t>
        </is>
      </c>
      <c r="E17" s="51" t="inlineStr">
        <is>
          <t>In Progress</t>
        </is>
      </c>
      <c r="F17" s="61" t="n">
        <v>50</v>
      </c>
      <c r="G17" s="40" t="inlineStr">
        <is>
          <t>Building 1</t>
        </is>
      </c>
      <c r="H17" s="40" t="inlineStr">
        <is>
          <t>Yashwant</t>
        </is>
      </c>
      <c r="I17" s="41" t="inlineStr"/>
      <c r="J17" s="41" t="inlineStr"/>
      <c r="K17" s="41" t="inlineStr"/>
      <c r="L17" s="2" t="n"/>
      <c r="M17" s="2" t="n"/>
    </row>
    <row r="18" ht="15" customHeight="1">
      <c r="A18" s="2" t="n"/>
      <c r="B18" s="47" t="inlineStr">
        <is>
          <t>WP-015</t>
        </is>
      </c>
      <c r="C18" s="46" t="inlineStr">
        <is>
          <t>Stairs - Bldg. 2</t>
        </is>
      </c>
      <c r="D18" s="46" t="inlineStr">
        <is>
          <t>Detailing</t>
        </is>
      </c>
      <c r="E18" s="51" t="inlineStr">
        <is>
          <t>In Progress</t>
        </is>
      </c>
      <c r="F18" s="63" t="n">
        <v>50</v>
      </c>
      <c r="G18" s="46" t="inlineStr">
        <is>
          <t>Building 2</t>
        </is>
      </c>
      <c r="H18" s="46" t="inlineStr">
        <is>
          <t>Yashwant</t>
        </is>
      </c>
      <c r="I18" s="47" t="inlineStr"/>
      <c r="J18" s="47" t="inlineStr"/>
      <c r="K18" s="47" t="inlineStr"/>
      <c r="L18" s="2" t="n"/>
      <c r="M18" s="2" t="n"/>
    </row>
    <row r="19" ht="15" customHeight="1">
      <c r="A19" s="2" t="n"/>
      <c r="B19" s="41" t="inlineStr">
        <is>
          <t>WP-016</t>
        </is>
      </c>
      <c r="C19" s="40" t="inlineStr">
        <is>
          <t>Remaining Embeds</t>
        </is>
      </c>
      <c r="D19" s="40" t="inlineStr">
        <is>
          <t>Erection</t>
        </is>
      </c>
      <c r="E19" s="43" t="inlineStr">
        <is>
          <t>Complete</t>
        </is>
      </c>
      <c r="F19" s="61" t="n">
        <v>100</v>
      </c>
      <c r="G19" s="40" t="inlineStr">
        <is>
          <t>Buildings 1 &amp; 2</t>
        </is>
      </c>
      <c r="H19" s="40" t="inlineStr">
        <is>
          <t>S&amp;H Shop</t>
        </is>
      </c>
      <c r="I19" s="41" t="inlineStr"/>
      <c r="J19" s="41" t="inlineStr"/>
      <c r="K19" s="41" t="inlineStr"/>
      <c r="L19" s="2" t="n"/>
      <c r="M19" s="2" t="n"/>
    </row>
    <row r="20" ht="15" customHeight="1">
      <c r="A20" s="2" t="n"/>
      <c r="B20" s="47" t="inlineStr">
        <is>
          <t>WP-017</t>
        </is>
      </c>
      <c r="C20" s="46" t="inlineStr">
        <is>
          <t>Joists &amp; Deck - Bldg. 2</t>
        </is>
      </c>
      <c r="D20" s="46" t="inlineStr">
        <is>
          <t>Fabrication</t>
        </is>
      </c>
      <c r="E20" s="51" t="inlineStr">
        <is>
          <t>In Progress</t>
        </is>
      </c>
      <c r="F20" s="63" t="n">
        <v>50</v>
      </c>
      <c r="G20" s="46" t="inlineStr">
        <is>
          <t>Building 2</t>
        </is>
      </c>
      <c r="H20" s="46" t="inlineStr"/>
      <c r="I20" s="47" t="inlineStr"/>
      <c r="J20" s="54" t="n">
        <v>46216</v>
      </c>
      <c r="K20" s="54" t="n">
        <v>46199</v>
      </c>
      <c r="L20" s="2" t="n"/>
      <c r="M20" s="2" t="n"/>
    </row>
    <row r="21" ht="15" customHeight="1">
      <c r="A21" s="2" t="n"/>
      <c r="B21" s="41" t="inlineStr">
        <is>
          <t>WP-018</t>
        </is>
      </c>
      <c r="C21" s="40" t="inlineStr">
        <is>
          <t>Mock Up</t>
        </is>
      </c>
      <c r="D21" s="40" t="inlineStr">
        <is>
          <t>Delivery</t>
        </is>
      </c>
      <c r="E21" s="50" t="inlineStr">
        <is>
          <t>Not Started</t>
        </is>
      </c>
      <c r="F21" s="61" t="n">
        <v>0</v>
      </c>
      <c r="G21" s="40" t="inlineStr"/>
      <c r="H21" s="40" t="inlineStr"/>
      <c r="I21" s="41" t="inlineStr"/>
      <c r="J21" s="41" t="inlineStr"/>
      <c r="K21" s="41" t="inlineStr"/>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sheetData>
  <autoFilter ref="B6:K21"/>
  <mergeCells count="4">
    <mergeCell ref="B4:K4"/>
    <mergeCell ref="B3:K3"/>
    <mergeCell ref="A1:M1"/>
    <mergeCell ref="B2:K2"/>
  </mergeCells>
  <conditionalFormatting sqref="F7:F21">
    <cfRule type="dataBar" priority="1">
      <dataBar showValue="1">
        <cfvo type="num" val="0"/>
        <cfvo type="num" val="100"/>
        <color rgb="003B82F6"/>
      </dataBar>
    </cfRule>
  </conditionalFormatting>
  <pageMargins left="0.75" right="0.75" top="1" bottom="1" header="0.5" footer="0.5"/>
</worksheet>
</file>

<file path=xl/worksheets/sheet10.xml><?xml version="1.0" encoding="utf-8"?>
<worksheet xmlns="http://schemas.openxmlformats.org/spreadsheetml/2006/main">
  <sheetPr>
    <tabColor rgb="001F2937"/>
    <outlinePr summaryBelow="1" summaryRight="1"/>
    <pageSetUpPr/>
  </sheetPr>
  <dimension ref="A1:M24"/>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26" customWidth="1" min="3" max="3"/>
    <col width="10" customWidth="1" min="4" max="4"/>
    <col width="11" customWidth="1" min="5" max="5"/>
    <col width="9" customWidth="1" min="6" max="6"/>
    <col width="9" customWidth="1" min="7" max="7"/>
    <col width="9" customWidth="1" min="8" max="8"/>
    <col width="12" customWidth="1" min="9" max="9"/>
    <col width="12" customWidth="1" min="10" max="10"/>
    <col width="12" customWidth="1" min="11" max="11"/>
    <col width="2.4" customWidth="1" min="12" max="12"/>
    <col width="2.4" customWidth="1" min="13" max="13"/>
  </cols>
  <sheetData>
    <row r="1">
      <c r="A1" s="1" t="n"/>
      <c r="B1" s="2" t="n"/>
      <c r="C1" s="2" t="n"/>
      <c r="D1" s="2" t="n"/>
      <c r="E1" s="2" t="n"/>
      <c r="F1" s="2" t="n"/>
      <c r="G1" s="2" t="n"/>
      <c r="H1" s="2" t="n"/>
      <c r="I1" s="2" t="n"/>
      <c r="J1" s="2" t="n"/>
      <c r="K1" s="2" t="n"/>
      <c r="L1" s="2" t="n"/>
      <c r="M1" s="2" t="n"/>
    </row>
    <row r="2" ht="30" customHeight="1">
      <c r="A2" s="2" t="n"/>
      <c r="B2" s="22" t="inlineStr">
        <is>
          <t>Deliveries</t>
        </is>
      </c>
      <c r="C2" s="2" t="n"/>
      <c r="D2" s="2" t="n"/>
      <c r="E2" s="2" t="n"/>
      <c r="F2" s="2" t="n"/>
      <c r="G2" s="2" t="n"/>
      <c r="H2" s="2" t="n"/>
      <c r="I2" s="2" t="n"/>
      <c r="J2" s="2" t="n"/>
      <c r="K2" s="2" t="n"/>
      <c r="L2" s="2" t="n"/>
      <c r="M2" s="2" t="n"/>
    </row>
    <row r="3" ht="18" customHeight="1">
      <c r="A3" s="2" t="n"/>
      <c r="B3" s="23" t="inlineStr">
        <is>
          <t>13 loads · 1,849 pieces · 21.22 tons</t>
        </is>
      </c>
      <c r="C3" s="2" t="n"/>
      <c r="D3" s="2" t="n"/>
      <c r="E3" s="2" t="n"/>
      <c r="F3" s="2" t="n"/>
      <c r="G3" s="2" t="n"/>
      <c r="H3" s="2" t="n"/>
      <c r="I3" s="2" t="n"/>
      <c r="J3" s="2" t="n"/>
      <c r="K3" s="2" t="n"/>
      <c r="L3" s="2" t="n"/>
      <c r="M3" s="2" t="n"/>
    </row>
    <row r="4" ht="3" customHeight="1">
      <c r="A4" s="2" t="n"/>
      <c r="B4" s="5"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ht="26" customHeight="1">
      <c r="A6" s="2" t="n"/>
      <c r="B6" s="39" t="inlineStr">
        <is>
          <t>Load</t>
        </is>
      </c>
      <c r="C6" s="38" t="inlineStr">
        <is>
          <t>Description</t>
        </is>
      </c>
      <c r="D6" s="38" t="inlineStr">
        <is>
          <t>Vendor</t>
        </is>
      </c>
      <c r="E6" s="38" t="inlineStr">
        <is>
          <t>Status</t>
        </is>
      </c>
      <c r="F6" s="38" t="inlineStr">
        <is>
          <t>Priority</t>
        </is>
      </c>
      <c r="G6" s="66" t="inlineStr">
        <is>
          <t>Pieces</t>
        </is>
      </c>
      <c r="H6" s="66" t="inlineStr">
        <is>
          <t>Tons</t>
        </is>
      </c>
      <c r="I6" s="38" t="inlineStr">
        <is>
          <t>Area</t>
        </is>
      </c>
      <c r="J6" s="39" t="inlineStr">
        <is>
          <t>Scheduled</t>
        </is>
      </c>
      <c r="K6" s="39" t="inlineStr">
        <is>
          <t>Delivered</t>
        </is>
      </c>
      <c r="L6" s="2" t="n"/>
      <c r="M6" s="2" t="n"/>
    </row>
    <row r="7" ht="15" customHeight="1">
      <c r="A7" s="2" t="n"/>
      <c r="B7" s="41" t="inlineStr">
        <is>
          <t>1</t>
        </is>
      </c>
      <c r="C7" s="40" t="inlineStr">
        <is>
          <t>Skyport at Redfield — Load 1</t>
        </is>
      </c>
      <c r="D7" s="40" t="inlineStr">
        <is>
          <t>S&amp;H</t>
        </is>
      </c>
      <c r="E7" s="43" t="inlineStr">
        <is>
          <t>Delivered</t>
        </is>
      </c>
      <c r="F7" s="50" t="inlineStr">
        <is>
          <t>Normal</t>
        </is>
      </c>
      <c r="G7" s="42" t="n">
        <v>496</v>
      </c>
      <c r="H7" s="67" t="n">
        <v>4.616</v>
      </c>
      <c r="I7" s="40" t="inlineStr"/>
      <c r="J7" s="53" t="n">
        <v>46119</v>
      </c>
      <c r="K7" s="53" t="n">
        <v>46119</v>
      </c>
      <c r="L7" s="2" t="n"/>
      <c r="M7" s="2" t="n"/>
    </row>
    <row r="8" ht="15" customHeight="1">
      <c r="A8" s="2" t="n"/>
      <c r="B8" s="47" t="inlineStr">
        <is>
          <t>2</t>
        </is>
      </c>
      <c r="C8" s="46" t="inlineStr">
        <is>
          <t>Skyport at Redfield — Load 2</t>
        </is>
      </c>
      <c r="D8" s="46" t="inlineStr">
        <is>
          <t>S&amp;H</t>
        </is>
      </c>
      <c r="E8" s="43" t="inlineStr">
        <is>
          <t>Delivered</t>
        </is>
      </c>
      <c r="F8" s="50" t="inlineStr">
        <is>
          <t>Normal</t>
        </is>
      </c>
      <c r="G8" s="48" t="n">
        <v>43</v>
      </c>
      <c r="H8" s="68" t="n">
        <v>0.073</v>
      </c>
      <c r="I8" s="46" t="inlineStr"/>
      <c r="J8" s="54" t="n">
        <v>46126</v>
      </c>
      <c r="K8" s="54" t="n">
        <v>46126</v>
      </c>
      <c r="L8" s="2" t="n"/>
      <c r="M8" s="2" t="n"/>
    </row>
    <row r="9" ht="15" customHeight="1">
      <c r="A9" s="2" t="n"/>
      <c r="B9" s="41" t="inlineStr">
        <is>
          <t>4</t>
        </is>
      </c>
      <c r="C9" s="40" t="inlineStr">
        <is>
          <t>Skyport at Redfield — Load 4</t>
        </is>
      </c>
      <c r="D9" s="40" t="inlineStr">
        <is>
          <t>S&amp;H</t>
        </is>
      </c>
      <c r="E9" s="43" t="inlineStr">
        <is>
          <t>Delivered</t>
        </is>
      </c>
      <c r="F9" s="50" t="inlineStr">
        <is>
          <t>Normal</t>
        </is>
      </c>
      <c r="G9" s="42" t="n">
        <v>29</v>
      </c>
      <c r="H9" s="67" t="n">
        <v>1.905</v>
      </c>
      <c r="I9" s="40" t="inlineStr"/>
      <c r="J9" s="53" t="n">
        <v>46148</v>
      </c>
      <c r="K9" s="53" t="n">
        <v>46148</v>
      </c>
      <c r="L9" s="2" t="n"/>
      <c r="M9" s="2" t="n"/>
    </row>
    <row r="10" ht="15" customHeight="1">
      <c r="A10" s="2" t="n"/>
      <c r="B10" s="47" t="inlineStr">
        <is>
          <t>6</t>
        </is>
      </c>
      <c r="C10" s="46" t="inlineStr">
        <is>
          <t>Skyport at Redfield — Load 6</t>
        </is>
      </c>
      <c r="D10" s="46" t="inlineStr">
        <is>
          <t>S&amp;H</t>
        </is>
      </c>
      <c r="E10" s="43" t="inlineStr">
        <is>
          <t>Delivered</t>
        </is>
      </c>
      <c r="F10" s="50" t="inlineStr">
        <is>
          <t>Normal</t>
        </is>
      </c>
      <c r="G10" s="48" t="n">
        <v>31</v>
      </c>
      <c r="H10" s="68" t="n">
        <v>0.5629999999999999</v>
      </c>
      <c r="I10" s="46" t="inlineStr"/>
      <c r="J10" s="54" t="n">
        <v>46150</v>
      </c>
      <c r="K10" s="54" t="n">
        <v>46150</v>
      </c>
      <c r="L10" s="2" t="n"/>
      <c r="M10" s="2" t="n"/>
    </row>
    <row r="11" ht="15" customHeight="1">
      <c r="A11" s="2" t="n"/>
      <c r="B11" s="41" t="inlineStr">
        <is>
          <t>7</t>
        </is>
      </c>
      <c r="C11" s="40" t="inlineStr">
        <is>
          <t>Skyport at Redfield — Load 7</t>
        </is>
      </c>
      <c r="D11" s="40" t="inlineStr">
        <is>
          <t>S&amp;H</t>
        </is>
      </c>
      <c r="E11" s="43" t="inlineStr">
        <is>
          <t>Delivered</t>
        </is>
      </c>
      <c r="F11" s="50" t="inlineStr">
        <is>
          <t>Normal</t>
        </is>
      </c>
      <c r="G11" s="42" t="n">
        <v>202</v>
      </c>
      <c r="H11" s="67" t="n">
        <v>1.53</v>
      </c>
      <c r="I11" s="40" t="inlineStr"/>
      <c r="J11" s="53" t="n">
        <v>46150</v>
      </c>
      <c r="K11" s="53" t="n">
        <v>46150</v>
      </c>
      <c r="L11" s="2" t="n"/>
      <c r="M11" s="2" t="n"/>
    </row>
    <row r="12" ht="15" customHeight="1">
      <c r="A12" s="2" t="n"/>
      <c r="B12" s="47" t="inlineStr">
        <is>
          <t>5.1</t>
        </is>
      </c>
      <c r="C12" s="46" t="inlineStr">
        <is>
          <t>Skyport at Redfield — Load 5.1</t>
        </is>
      </c>
      <c r="D12" s="46" t="inlineStr">
        <is>
          <t>S&amp;H</t>
        </is>
      </c>
      <c r="E12" s="43" t="inlineStr">
        <is>
          <t>Delivered</t>
        </is>
      </c>
      <c r="F12" s="50" t="inlineStr">
        <is>
          <t>Normal</t>
        </is>
      </c>
      <c r="G12" s="48" t="n">
        <v>17</v>
      </c>
      <c r="H12" s="68" t="n">
        <v>2.103</v>
      </c>
      <c r="I12" s="46" t="inlineStr"/>
      <c r="J12" s="54" t="n">
        <v>46154</v>
      </c>
      <c r="K12" s="54" t="n">
        <v>46154</v>
      </c>
      <c r="L12" s="2" t="n"/>
      <c r="M12" s="2" t="n"/>
    </row>
    <row r="13" ht="15" customHeight="1">
      <c r="A13" s="2" t="n"/>
      <c r="B13" s="41" t="inlineStr">
        <is>
          <t>8</t>
        </is>
      </c>
      <c r="C13" s="40" t="inlineStr">
        <is>
          <t>Skyport at Redfield — Load 8</t>
        </is>
      </c>
      <c r="D13" s="40" t="inlineStr">
        <is>
          <t>S&amp;H</t>
        </is>
      </c>
      <c r="E13" s="43" t="inlineStr">
        <is>
          <t>Delivered</t>
        </is>
      </c>
      <c r="F13" s="50" t="inlineStr">
        <is>
          <t>Normal</t>
        </is>
      </c>
      <c r="G13" s="42" t="n">
        <v>125</v>
      </c>
      <c r="H13" s="67" t="n">
        <v>0.319</v>
      </c>
      <c r="I13" s="40" t="inlineStr"/>
      <c r="J13" s="53" t="n">
        <v>46155</v>
      </c>
      <c r="K13" s="53" t="n">
        <v>46155</v>
      </c>
      <c r="L13" s="2" t="n"/>
      <c r="M13" s="2" t="n"/>
    </row>
    <row r="14" ht="15" customHeight="1">
      <c r="A14" s="2" t="n"/>
      <c r="B14" s="47" t="inlineStr">
        <is>
          <t>9</t>
        </is>
      </c>
      <c r="C14" s="46" t="inlineStr">
        <is>
          <t>Skyport at Redfield — Load 9</t>
        </is>
      </c>
      <c r="D14" s="46" t="inlineStr">
        <is>
          <t>S&amp;H</t>
        </is>
      </c>
      <c r="E14" s="43" t="inlineStr">
        <is>
          <t>Delivered</t>
        </is>
      </c>
      <c r="F14" s="50" t="inlineStr">
        <is>
          <t>Normal</t>
        </is>
      </c>
      <c r="G14" s="48" t="n">
        <v>376</v>
      </c>
      <c r="H14" s="68" t="n">
        <v>4.756</v>
      </c>
      <c r="I14" s="46" t="inlineStr"/>
      <c r="J14" s="54" t="n">
        <v>46155</v>
      </c>
      <c r="K14" s="54" t="n">
        <v>46155</v>
      </c>
      <c r="L14" s="2" t="n"/>
      <c r="M14" s="2" t="n"/>
    </row>
    <row r="15" ht="15" customHeight="1">
      <c r="A15" s="2" t="n"/>
      <c r="B15" s="41" t="inlineStr">
        <is>
          <t>10</t>
        </is>
      </c>
      <c r="C15" s="40" t="inlineStr">
        <is>
          <t>Skyport at Redfield — Load 10</t>
        </is>
      </c>
      <c r="D15" s="40" t="inlineStr">
        <is>
          <t>S&amp;H</t>
        </is>
      </c>
      <c r="E15" s="43" t="inlineStr">
        <is>
          <t>Delivered</t>
        </is>
      </c>
      <c r="F15" s="50" t="inlineStr">
        <is>
          <t>Normal</t>
        </is>
      </c>
      <c r="G15" s="42" t="n">
        <v>14</v>
      </c>
      <c r="H15" s="67" t="n">
        <v>2.162</v>
      </c>
      <c r="I15" s="40" t="inlineStr">
        <is>
          <t>Building 1</t>
        </is>
      </c>
      <c r="J15" s="53" t="n">
        <v>46155</v>
      </c>
      <c r="K15" s="53" t="n">
        <v>46155</v>
      </c>
      <c r="L15" s="2" t="n"/>
      <c r="M15" s="2" t="n"/>
    </row>
    <row r="16" ht="15" customHeight="1">
      <c r="A16" s="2" t="n"/>
      <c r="B16" s="47" t="inlineStr">
        <is>
          <t>11</t>
        </is>
      </c>
      <c r="C16" s="46" t="inlineStr">
        <is>
          <t>Skyport at Redfield — Load 11</t>
        </is>
      </c>
      <c r="D16" s="46" t="inlineStr">
        <is>
          <t>S&amp;H</t>
        </is>
      </c>
      <c r="E16" s="43" t="inlineStr">
        <is>
          <t>Delivered</t>
        </is>
      </c>
      <c r="F16" s="50" t="inlineStr">
        <is>
          <t>Normal</t>
        </is>
      </c>
      <c r="G16" s="48" t="n">
        <v>370</v>
      </c>
      <c r="H16" s="68" t="n">
        <v>2.92</v>
      </c>
      <c r="I16" s="46" t="inlineStr">
        <is>
          <t>Building 1</t>
        </is>
      </c>
      <c r="J16" s="54" t="n">
        <v>46156</v>
      </c>
      <c r="K16" s="54" t="n">
        <v>46156</v>
      </c>
      <c r="L16" s="2" t="n"/>
      <c r="M16" s="2" t="n"/>
    </row>
    <row r="17" ht="15" customHeight="1">
      <c r="A17" s="2" t="n"/>
      <c r="B17" s="41" t="inlineStr">
        <is>
          <t>12</t>
        </is>
      </c>
      <c r="C17" s="40" t="inlineStr">
        <is>
          <t>Skyport at Redfield — Load 12</t>
        </is>
      </c>
      <c r="D17" s="40" t="inlineStr">
        <is>
          <t>S&amp;H</t>
        </is>
      </c>
      <c r="E17" s="43" t="inlineStr">
        <is>
          <t>Delivered</t>
        </is>
      </c>
      <c r="F17" s="50" t="inlineStr">
        <is>
          <t>Normal</t>
        </is>
      </c>
      <c r="G17" s="42" t="n">
        <v>126</v>
      </c>
      <c r="H17" s="67" t="n">
        <v>0.269</v>
      </c>
      <c r="I17" s="40" t="inlineStr"/>
      <c r="J17" s="53" t="n">
        <v>46157</v>
      </c>
      <c r="K17" s="53" t="n">
        <v>46157</v>
      </c>
      <c r="L17" s="2" t="n"/>
      <c r="M17" s="2" t="n"/>
    </row>
    <row r="18" ht="15" customHeight="1">
      <c r="A18" s="2" t="n"/>
      <c r="B18" s="47" t="inlineStr"/>
      <c r="C18" s="46" t="inlineStr">
        <is>
          <t>Mock Up</t>
        </is>
      </c>
      <c r="D18" s="46" t="inlineStr">
        <is>
          <t>S&amp;H</t>
        </is>
      </c>
      <c r="E18" s="51" t="inlineStr">
        <is>
          <t>Scheduled</t>
        </is>
      </c>
      <c r="F18" s="50" t="inlineStr">
        <is>
          <t>Normal</t>
        </is>
      </c>
      <c r="G18" s="48" t="n">
        <v>0</v>
      </c>
      <c r="H18" s="68" t="n">
        <v>0</v>
      </c>
      <c r="I18" s="46" t="inlineStr">
        <is>
          <t>Building 1</t>
        </is>
      </c>
      <c r="J18" s="54" t="n">
        <v>46196</v>
      </c>
      <c r="K18" s="47" t="inlineStr"/>
      <c r="L18" s="2" t="n"/>
      <c r="M18" s="2" t="n"/>
    </row>
    <row r="19" ht="15" customHeight="1">
      <c r="A19" s="2" t="n"/>
      <c r="B19" s="41" t="inlineStr"/>
      <c r="C19" s="40" t="inlineStr">
        <is>
          <t>Splice Plates (502M113)</t>
        </is>
      </c>
      <c r="D19" s="40" t="inlineStr">
        <is>
          <t>S&amp;H</t>
        </is>
      </c>
      <c r="E19" s="51" t="inlineStr">
        <is>
          <t>Scheduled</t>
        </is>
      </c>
      <c r="F19" s="64" t="inlineStr">
        <is>
          <t>High</t>
        </is>
      </c>
      <c r="G19" s="42" t="n">
        <v>20</v>
      </c>
      <c r="H19" s="67" t="n">
        <v>0</v>
      </c>
      <c r="I19" s="40" t="inlineStr">
        <is>
          <t>Building 2</t>
        </is>
      </c>
      <c r="J19" s="53" t="n">
        <v>46198</v>
      </c>
      <c r="K19" s="41" t="inlineStr"/>
      <c r="L19" s="2" t="n"/>
      <c r="M19" s="2" t="n"/>
    </row>
    <row r="20" ht="18" customHeight="1">
      <c r="A20" s="2" t="n"/>
      <c r="B20" s="69" t="inlineStr">
        <is>
          <t>TOTAL</t>
        </is>
      </c>
      <c r="C20" s="70" t="inlineStr"/>
      <c r="D20" s="70" t="inlineStr"/>
      <c r="E20" s="70" t="inlineStr"/>
      <c r="F20" s="70" t="inlineStr"/>
      <c r="G20" s="71">
        <f>SUM(G7:G19)</f>
        <v/>
      </c>
      <c r="H20" s="72">
        <f>SUM(H7:H19)</f>
        <v/>
      </c>
      <c r="I20" s="70" t="inlineStr"/>
      <c r="J20" s="70" t="inlineStr"/>
      <c r="K20" s="70" t="inlineStr"/>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sheetData>
  <autoFilter ref="B6:K19"/>
  <mergeCells count="4">
    <mergeCell ref="B4:K4"/>
    <mergeCell ref="B3:K3"/>
    <mergeCell ref="A1:M1"/>
    <mergeCell ref="B2:K2"/>
  </mergeCells>
  <pageMargins left="0.75" right="0.75" top="1" bottom="1" header="0.5" footer="0.5"/>
</worksheet>
</file>

<file path=xl/worksheets/sheet11.xml><?xml version="1.0" encoding="utf-8"?>
<worksheet xmlns="http://schemas.openxmlformats.org/spreadsheetml/2006/main">
  <sheetPr>
    <tabColor rgb="001F2937"/>
    <outlinePr summaryBelow="1" summaryRight="1"/>
    <pageSetUpPr/>
  </sheetPr>
  <dimension ref="A1:L33"/>
  <sheetViews>
    <sheetView showGridLines="0" workbookViewId="0">
      <selection activeCell="A1" sqref="A1"/>
    </sheetView>
  </sheetViews>
  <sheetFormatPr baseColWidth="8" defaultRowHeight="15"/>
  <cols>
    <col width="2.4" customWidth="1" min="1" max="1"/>
    <col width="34" customWidth="1" min="2" max="2"/>
    <col width="13" customWidth="1" min="3" max="3"/>
    <col width="14" customWidth="1" min="4" max="4"/>
    <col width="11" customWidth="1" min="5" max="5"/>
    <col width="11" customWidth="1" min="6" max="6"/>
    <col width="2.4" customWidth="1" min="11" max="11"/>
    <col width="2.4" customWidth="1" min="12" max="12"/>
  </cols>
  <sheetData>
    <row r="1">
      <c r="A1" s="1" t="n"/>
      <c r="B1" s="2" t="n"/>
      <c r="C1" s="2" t="n"/>
      <c r="D1" s="2" t="n"/>
      <c r="E1" s="2" t="n"/>
      <c r="F1" s="2" t="n"/>
      <c r="G1" s="2" t="n"/>
      <c r="H1" s="2" t="n"/>
      <c r="I1" s="2" t="n"/>
      <c r="J1" s="2" t="n"/>
      <c r="K1" s="2" t="n"/>
      <c r="L1" s="2" t="n"/>
    </row>
    <row r="2" ht="30" customHeight="1">
      <c r="A2" s="2" t="n"/>
      <c r="B2" s="22" t="inlineStr">
        <is>
          <t>Fabrication &amp; Production</t>
        </is>
      </c>
      <c r="C2" s="2" t="n"/>
      <c r="D2" s="2" t="n"/>
      <c r="E2" s="2" t="n"/>
      <c r="F2" s="2" t="n"/>
      <c r="G2" s="2" t="n"/>
      <c r="H2" s="2" t="n"/>
      <c r="I2" s="2" t="n"/>
      <c r="J2" s="2" t="n"/>
      <c r="K2" s="2" t="n"/>
      <c r="L2" s="2" t="n"/>
    </row>
    <row r="3" ht="18" customHeight="1">
      <c r="A3" s="2" t="n"/>
      <c r="B3" s="23" t="inlineStr">
        <is>
          <t>Fab-release control — module structure + production rollup from the schedule</t>
        </is>
      </c>
      <c r="C3" s="2" t="n"/>
      <c r="D3" s="2" t="n"/>
      <c r="E3" s="2" t="n"/>
      <c r="F3" s="2" t="n"/>
      <c r="G3" s="2" t="n"/>
      <c r="H3" s="2" t="n"/>
      <c r="I3" s="2" t="n"/>
      <c r="J3" s="2" t="n"/>
      <c r="K3" s="2" t="n"/>
      <c r="L3" s="2" t="n"/>
    </row>
    <row r="4" ht="3" customHeight="1">
      <c r="A4" s="2" t="n"/>
      <c r="B4" s="5" t="n"/>
      <c r="C4" s="2" t="n"/>
      <c r="D4" s="2" t="n"/>
      <c r="E4" s="2" t="n"/>
      <c r="F4" s="2" t="n"/>
      <c r="G4" s="2" t="n"/>
      <c r="H4" s="2" t="n"/>
      <c r="I4" s="2" t="n"/>
      <c r="J4" s="2" t="n"/>
      <c r="K4" s="2" t="n"/>
      <c r="L4" s="2" t="n"/>
    </row>
    <row r="5">
      <c r="A5" s="2" t="n"/>
      <c r="B5" s="2" t="n"/>
      <c r="C5" s="2" t="n"/>
      <c r="D5" s="2" t="n"/>
      <c r="E5" s="2" t="n"/>
      <c r="F5" s="2" t="n"/>
      <c r="G5" s="2" t="n"/>
      <c r="H5" s="2" t="n"/>
      <c r="I5" s="2" t="n"/>
      <c r="J5" s="2" t="n"/>
      <c r="K5" s="2" t="n"/>
      <c r="L5" s="2" t="n"/>
    </row>
    <row r="6" ht="18" customHeight="1">
      <c r="A6" s="2" t="n"/>
      <c r="B6" s="73" t="inlineStr">
        <is>
          <t xml:space="preserve">   No fab-release records logged yet for this project.</t>
        </is>
      </c>
      <c r="C6" s="74" t="n"/>
      <c r="D6" s="74" t="n"/>
      <c r="E6" s="74" t="n"/>
      <c r="F6" s="74" t="n"/>
      <c r="G6" s="74" t="n"/>
      <c r="H6" s="74" t="n"/>
      <c r="I6" s="74" t="n"/>
      <c r="J6" s="74" t="n"/>
      <c r="K6" s="2" t="n"/>
      <c r="L6" s="2" t="n"/>
    </row>
    <row r="7" ht="18" customHeight="1">
      <c r="A7" s="2" t="n"/>
      <c r="B7" s="75" t="inlineStr">
        <is>
          <t xml:space="preserve">   SteelBuild Pro gates fabrication behind a server-side check (open RFIs / unapproved sets block release).</t>
        </is>
      </c>
      <c r="C7" s="74" t="n"/>
      <c r="D7" s="74" t="n"/>
      <c r="E7" s="74" t="n"/>
      <c r="F7" s="74" t="n"/>
      <c r="G7" s="74" t="n"/>
      <c r="H7" s="74" t="n"/>
      <c r="I7" s="74" t="n"/>
      <c r="J7" s="74" t="n"/>
      <c r="K7" s="2" t="n"/>
      <c r="L7" s="2" t="n"/>
    </row>
    <row r="8" ht="18" customHeight="1">
      <c r="A8" s="2" t="n"/>
      <c r="B8" s="75" t="inlineStr">
        <is>
          <t xml:space="preserve">   When releases are logged, each row carries: release #, work package, piece marks, piece count, tonnage, release &amp; required dates.</t>
        </is>
      </c>
      <c r="C8" s="74" t="n"/>
      <c r="D8" s="74" t="n"/>
      <c r="E8" s="74" t="n"/>
      <c r="F8" s="74" t="n"/>
      <c r="G8" s="74" t="n"/>
      <c r="H8" s="74" t="n"/>
      <c r="I8" s="74" t="n"/>
      <c r="J8" s="74" t="n"/>
      <c r="K8" s="2" t="n"/>
      <c r="L8" s="2" t="n"/>
    </row>
    <row r="9">
      <c r="A9" s="2" t="n"/>
      <c r="B9" s="2" t="n"/>
      <c r="C9" s="2" t="n"/>
      <c r="D9" s="2" t="n"/>
      <c r="E9" s="2" t="n"/>
      <c r="F9" s="2" t="n"/>
      <c r="G9" s="2" t="n"/>
      <c r="H9" s="2" t="n"/>
      <c r="I9" s="2" t="n"/>
      <c r="J9" s="2" t="n"/>
      <c r="K9" s="2" t="n"/>
      <c r="L9" s="2" t="n"/>
    </row>
    <row r="10" ht="22" customHeight="1">
      <c r="A10" s="2" t="n"/>
      <c r="B10" s="9" t="inlineStr">
        <is>
          <t>FABRICATION PROGRESS  ·  derived from schedule (Fabrication phase)</t>
        </is>
      </c>
      <c r="C10" s="2" t="n"/>
      <c r="D10" s="2" t="n"/>
      <c r="E10" s="2" t="n"/>
      <c r="F10" s="2" t="n"/>
      <c r="G10" s="2" t="n"/>
      <c r="H10" s="2" t="n"/>
      <c r="I10" s="2" t="n"/>
      <c r="J10" s="2" t="n"/>
      <c r="K10" s="2" t="n"/>
      <c r="L10" s="2" t="n"/>
    </row>
    <row r="11" ht="26" customHeight="1">
      <c r="A11" s="2" t="n"/>
      <c r="B11" s="38" t="inlineStr">
        <is>
          <t>Fabrication Activity</t>
        </is>
      </c>
      <c r="C11" s="38" t="inlineStr">
        <is>
          <t>Status</t>
        </is>
      </c>
      <c r="D11" s="38" t="inlineStr">
        <is>
          <t>% Complete</t>
        </is>
      </c>
      <c r="E11" s="39" t="inlineStr">
        <is>
          <t>Start</t>
        </is>
      </c>
      <c r="F11" s="39" t="inlineStr">
        <is>
          <t>Finish</t>
        </is>
      </c>
      <c r="G11" s="2" t="n"/>
      <c r="H11" s="2" t="n"/>
      <c r="I11" s="2" t="n"/>
      <c r="J11" s="2" t="n"/>
      <c r="K11" s="2" t="n"/>
      <c r="L11" s="2" t="n"/>
    </row>
    <row r="12" ht="15" customHeight="1">
      <c r="A12" s="2" t="n"/>
      <c r="B12" s="40" t="inlineStr">
        <is>
          <t>Panel Embeds - Bldg. 1</t>
        </is>
      </c>
      <c r="C12" s="43" t="inlineStr">
        <is>
          <t>Complete</t>
        </is>
      </c>
      <c r="D12" s="61" t="n">
        <v>100</v>
      </c>
      <c r="E12" s="53" t="n">
        <v>46113</v>
      </c>
      <c r="F12" s="53" t="n">
        <v>46132</v>
      </c>
      <c r="G12" s="2" t="n"/>
      <c r="H12" s="2" t="n"/>
      <c r="I12" s="2" t="n"/>
      <c r="J12" s="2" t="n"/>
      <c r="K12" s="2" t="n"/>
      <c r="L12" s="2" t="n"/>
    </row>
    <row r="13" ht="15" customHeight="1">
      <c r="A13" s="2" t="n"/>
      <c r="B13" s="46" t="inlineStr">
        <is>
          <t>Panel Embeds - Bldg. 2</t>
        </is>
      </c>
      <c r="C13" s="43" t="inlineStr">
        <is>
          <t>Complete</t>
        </is>
      </c>
      <c r="D13" s="63" t="n">
        <v>100</v>
      </c>
      <c r="E13" s="54" t="n">
        <v>46156</v>
      </c>
      <c r="F13" s="54" t="n">
        <v>46175</v>
      </c>
      <c r="G13" s="2" t="n"/>
      <c r="H13" s="2" t="n"/>
      <c r="I13" s="2" t="n"/>
      <c r="J13" s="2" t="n"/>
      <c r="K13" s="2" t="n"/>
      <c r="L13" s="2" t="n"/>
    </row>
    <row r="14" ht="15" customHeight="1">
      <c r="A14" s="2" t="n"/>
      <c r="B14" s="40" t="inlineStr">
        <is>
          <t>Anchor Bolts - Bldg. 1 &amp; 2</t>
        </is>
      </c>
      <c r="C14" s="43" t="inlineStr">
        <is>
          <t>Complete</t>
        </is>
      </c>
      <c r="D14" s="61" t="n">
        <v>100</v>
      </c>
      <c r="E14" s="53" t="n">
        <v>46166</v>
      </c>
      <c r="F14" s="53" t="n">
        <v>46185</v>
      </c>
      <c r="G14" s="2" t="n"/>
      <c r="H14" s="2" t="n"/>
      <c r="I14" s="2" t="n"/>
      <c r="J14" s="2" t="n"/>
      <c r="K14" s="2" t="n"/>
      <c r="L14" s="2" t="n"/>
    </row>
    <row r="15" ht="15" customHeight="1">
      <c r="A15" s="2" t="n"/>
      <c r="B15" s="46" t="inlineStr">
        <is>
          <t>Main Steel - Bldg. 2</t>
        </is>
      </c>
      <c r="C15" s="55" t="inlineStr">
        <is>
          <t>In Progress</t>
        </is>
      </c>
      <c r="D15" s="63" t="n">
        <v>0</v>
      </c>
      <c r="E15" s="54" t="n">
        <v>46178</v>
      </c>
      <c r="F15" s="54" t="n">
        <v>46198</v>
      </c>
      <c r="G15" s="2" t="n"/>
      <c r="H15" s="2" t="n"/>
      <c r="I15" s="2" t="n"/>
      <c r="J15" s="2" t="n"/>
      <c r="K15" s="2" t="n"/>
      <c r="L15" s="2" t="n"/>
    </row>
    <row r="16" ht="15" customHeight="1">
      <c r="A16" s="2" t="n"/>
      <c r="B16" s="40" t="inlineStr">
        <is>
          <t>Joists / Deck - Bldg. 1</t>
        </is>
      </c>
      <c r="C16" s="55" t="inlineStr">
        <is>
          <t>In Progress</t>
        </is>
      </c>
      <c r="D16" s="61" t="n">
        <v>50</v>
      </c>
      <c r="E16" s="53" t="n">
        <v>46194</v>
      </c>
      <c r="F16" s="53" t="n">
        <v>46211</v>
      </c>
      <c r="G16" s="2" t="n"/>
      <c r="H16" s="2" t="n"/>
      <c r="I16" s="2" t="n"/>
      <c r="J16" s="2" t="n"/>
      <c r="K16" s="2" t="n"/>
      <c r="L16" s="2" t="n"/>
    </row>
    <row r="17" ht="15" customHeight="1">
      <c r="A17" s="2" t="n"/>
      <c r="B17" s="46" t="inlineStr">
        <is>
          <t>Site Misc. Steel</t>
        </is>
      </c>
      <c r="C17" s="50" t="inlineStr">
        <is>
          <t>Not Started</t>
        </is>
      </c>
      <c r="D17" s="63" t="n">
        <v>0</v>
      </c>
      <c r="E17" s="54" t="n">
        <v>46200</v>
      </c>
      <c r="F17" s="54" t="n">
        <v>46219</v>
      </c>
      <c r="G17" s="2" t="n"/>
      <c r="H17" s="2" t="n"/>
      <c r="I17" s="2" t="n"/>
      <c r="J17" s="2" t="n"/>
      <c r="K17" s="2" t="n"/>
      <c r="L17" s="2" t="n"/>
    </row>
    <row r="18" ht="15" customHeight="1">
      <c r="A18" s="2" t="n"/>
      <c r="B18" s="40" t="inlineStr">
        <is>
          <t>Balcony Rails - Bldg. 1</t>
        </is>
      </c>
      <c r="C18" s="50" t="inlineStr">
        <is>
          <t>Not Started</t>
        </is>
      </c>
      <c r="D18" s="61" t="n">
        <v>0</v>
      </c>
      <c r="E18" s="53" t="n">
        <v>46205</v>
      </c>
      <c r="F18" s="53" t="n">
        <v>46224</v>
      </c>
      <c r="G18" s="2" t="n"/>
      <c r="H18" s="2" t="n"/>
      <c r="I18" s="2" t="n"/>
      <c r="J18" s="2" t="n"/>
      <c r="K18" s="2" t="n"/>
      <c r="L18" s="2" t="n"/>
    </row>
    <row r="19" ht="15" customHeight="1">
      <c r="A19" s="2" t="n"/>
      <c r="B19" s="46" t="inlineStr">
        <is>
          <t>Joists / Deck - Bldg. 2</t>
        </is>
      </c>
      <c r="C19" s="55" t="inlineStr">
        <is>
          <t>In Progress</t>
        </is>
      </c>
      <c r="D19" s="63" t="n">
        <v>37</v>
      </c>
      <c r="E19" s="54" t="n">
        <v>46205</v>
      </c>
      <c r="F19" s="54" t="n">
        <v>46214</v>
      </c>
      <c r="G19" s="2" t="n"/>
      <c r="H19" s="2" t="n"/>
      <c r="I19" s="2" t="n"/>
      <c r="J19" s="2" t="n"/>
      <c r="K19" s="2" t="n"/>
      <c r="L19" s="2" t="n"/>
    </row>
    <row r="20" ht="15" customHeight="1">
      <c r="A20" s="2" t="n"/>
      <c r="B20" s="40" t="inlineStr">
        <is>
          <t>Balcony Rails - Bldg. 2</t>
        </is>
      </c>
      <c r="C20" s="50" t="inlineStr">
        <is>
          <t>Not Started</t>
        </is>
      </c>
      <c r="D20" s="61" t="n">
        <v>0</v>
      </c>
      <c r="E20" s="53" t="n">
        <v>46205</v>
      </c>
      <c r="F20" s="53" t="n">
        <v>46224</v>
      </c>
      <c r="G20" s="2" t="n"/>
      <c r="H20" s="2" t="n"/>
      <c r="I20" s="2" t="n"/>
      <c r="J20" s="2" t="n"/>
      <c r="K20" s="2" t="n"/>
      <c r="L20" s="2" t="n"/>
    </row>
    <row r="21" ht="15" customHeight="1">
      <c r="A21" s="2" t="n"/>
      <c r="B21" s="46" t="inlineStr">
        <is>
          <t>Main Steel - Bldg. 1</t>
        </is>
      </c>
      <c r="C21" s="55" t="inlineStr">
        <is>
          <t>In Progress</t>
        </is>
      </c>
      <c r="D21" s="63" t="n">
        <v>14</v>
      </c>
      <c r="E21" s="54" t="n">
        <v>46205</v>
      </c>
      <c r="F21" s="54" t="n">
        <v>46241</v>
      </c>
      <c r="G21" s="2" t="n"/>
      <c r="H21" s="2" t="n"/>
      <c r="I21" s="2" t="n"/>
      <c r="J21" s="2" t="n"/>
      <c r="K21" s="2" t="n"/>
      <c r="L21" s="2" t="n"/>
    </row>
    <row r="22" ht="15" customHeight="1">
      <c r="A22" s="2" t="n"/>
      <c r="B22" s="40" t="inlineStr">
        <is>
          <t>Roof Access Ladders - Bldg. 1 &amp; 2</t>
        </is>
      </c>
      <c r="C22" s="50" t="inlineStr">
        <is>
          <t>Not Started</t>
        </is>
      </c>
      <c r="D22" s="61" t="n">
        <v>0</v>
      </c>
      <c r="E22" s="53" t="n">
        <v>46212</v>
      </c>
      <c r="F22" s="53" t="n">
        <v>46217</v>
      </c>
      <c r="G22" s="2" t="n"/>
      <c r="H22" s="2" t="n"/>
      <c r="I22" s="2" t="n"/>
      <c r="J22" s="2" t="n"/>
      <c r="K22" s="2" t="n"/>
      <c r="L22" s="2" t="n"/>
    </row>
    <row r="23" ht="15" customHeight="1">
      <c r="A23" s="2" t="n"/>
      <c r="B23" s="46" t="inlineStr">
        <is>
          <t>Stairs - Bldg. 2</t>
        </is>
      </c>
      <c r="C23" s="50" t="inlineStr">
        <is>
          <t>Not Started</t>
        </is>
      </c>
      <c r="D23" s="63" t="n">
        <v>0</v>
      </c>
      <c r="E23" s="54" t="n">
        <v>46212</v>
      </c>
      <c r="F23" s="54" t="n">
        <v>46231</v>
      </c>
      <c r="G23" s="2" t="n"/>
      <c r="H23" s="2" t="n"/>
      <c r="I23" s="2" t="n"/>
      <c r="J23" s="2" t="n"/>
      <c r="K23" s="2" t="n"/>
      <c r="L23" s="2" t="n"/>
    </row>
    <row r="24" ht="15" customHeight="1">
      <c r="A24" s="2" t="n"/>
      <c r="B24" s="40" t="inlineStr">
        <is>
          <t>Stairs - Bldg. 1</t>
        </is>
      </c>
      <c r="C24" s="50" t="inlineStr">
        <is>
          <t>Not Started</t>
        </is>
      </c>
      <c r="D24" s="61" t="n">
        <v>0</v>
      </c>
      <c r="E24" s="53" t="n">
        <v>46212</v>
      </c>
      <c r="F24" s="53" t="n">
        <v>46231</v>
      </c>
      <c r="G24" s="2" t="n"/>
      <c r="H24" s="2" t="n"/>
      <c r="I24" s="2" t="n"/>
      <c r="J24" s="2" t="n"/>
      <c r="K24" s="2" t="n"/>
      <c r="L24" s="2" t="n"/>
    </row>
    <row r="25">
      <c r="A25" s="2" t="n"/>
      <c r="B25" s="2" t="n"/>
      <c r="C25" s="2" t="n"/>
      <c r="D25" s="2" t="n"/>
      <c r="E25" s="2" t="n"/>
      <c r="F25" s="2" t="n"/>
      <c r="G25" s="2" t="n"/>
      <c r="H25" s="2" t="n"/>
      <c r="I25" s="2" t="n"/>
      <c r="J25" s="2" t="n"/>
      <c r="K25" s="2" t="n"/>
      <c r="L25" s="2" t="n"/>
    </row>
    <row r="26" ht="22" customHeight="1">
      <c r="A26" s="2" t="n"/>
      <c r="B26" s="9" t="inlineStr">
        <is>
          <t>SHIPPED TO DATE</t>
        </is>
      </c>
      <c r="C26" s="2" t="n"/>
      <c r="D26" s="2" t="n"/>
      <c r="E26" s="2" t="n"/>
      <c r="F26" s="2" t="n"/>
      <c r="G26" s="2" t="n"/>
      <c r="H26" s="2" t="n"/>
      <c r="I26" s="2" t="n"/>
      <c r="J26" s="2" t="n"/>
      <c r="K26" s="2" t="n"/>
      <c r="L26" s="2" t="n"/>
    </row>
    <row r="27">
      <c r="A27" s="2" t="n"/>
      <c r="B27" s="76" t="inlineStr">
        <is>
          <t xml:space="preserve">  21.22</t>
        </is>
      </c>
      <c r="C27" s="74" t="n"/>
      <c r="D27" s="74" t="n"/>
      <c r="E27" s="77" t="inlineStr">
        <is>
          <t xml:space="preserve">  1,849</t>
        </is>
      </c>
      <c r="F27" s="74" t="n"/>
      <c r="G27" s="74" t="n"/>
      <c r="H27" s="78" t="inlineStr">
        <is>
          <t xml:space="preserve">  11</t>
        </is>
      </c>
      <c r="I27" s="74" t="n"/>
      <c r="J27" s="74" t="n"/>
      <c r="K27" s="2" t="n"/>
      <c r="L27" s="2" t="n"/>
    </row>
    <row r="28">
      <c r="A28" s="2" t="n"/>
      <c r="B28" s="7" t="inlineStr">
        <is>
          <t xml:space="preserve">  TONS DELIVERED</t>
        </is>
      </c>
      <c r="C28" s="74" t="n"/>
      <c r="D28" s="74" t="n"/>
      <c r="E28" s="7" t="inlineStr">
        <is>
          <t xml:space="preserve">  PIECES SHIPPED</t>
        </is>
      </c>
      <c r="F28" s="74" t="n"/>
      <c r="G28" s="74" t="n"/>
      <c r="H28" s="7" t="inlineStr">
        <is>
          <t xml:space="preserve">  LOADS DELIVERED</t>
        </is>
      </c>
      <c r="I28" s="74" t="n"/>
      <c r="J28" s="74" t="n"/>
      <c r="K28" s="2" t="n"/>
      <c r="L28" s="2" t="n"/>
    </row>
    <row r="29">
      <c r="A29" s="2" t="n"/>
      <c r="B29" s="74" t="n"/>
      <c r="C29" s="74" t="n"/>
      <c r="D29" s="74" t="n"/>
      <c r="E29" s="74" t="n"/>
      <c r="F29" s="74" t="n"/>
      <c r="G29" s="74" t="n"/>
      <c r="H29" s="74" t="n"/>
      <c r="I29" s="74" t="n"/>
      <c r="J29" s="74"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sheetData>
  <autoFilter ref="B11:F24"/>
  <mergeCells count="6">
    <mergeCell ref="B3:J3"/>
    <mergeCell ref="B10:J10"/>
    <mergeCell ref="A1:L1"/>
    <mergeCell ref="B26:J26"/>
    <mergeCell ref="B4:J4"/>
    <mergeCell ref="B2:J2"/>
  </mergeCells>
  <conditionalFormatting sqref="D12:D24">
    <cfRule type="dataBar" priority="1">
      <dataBar showValue="1">
        <cfvo type="num" val="0"/>
        <cfvo type="num" val="100"/>
        <color rgb="003B82F6"/>
      </dataBar>
    </cfRule>
  </conditionalFormatting>
  <pageMargins left="0.75" right="0.75" top="1" bottom="1" header="0.5" footer="0.5"/>
</worksheet>
</file>

<file path=xl/worksheets/sheet12.xml><?xml version="1.0" encoding="utf-8"?>
<worksheet xmlns="http://schemas.openxmlformats.org/spreadsheetml/2006/main">
  <sheetPr>
    <tabColor rgb="001F2937"/>
    <outlinePr summaryBelow="1" summaryRight="1"/>
    <pageSetUpPr/>
  </sheetPr>
  <dimension ref="A1:L17"/>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9" customWidth="1" min="2" max="2"/>
    <col width="28" customWidth="1" min="3" max="3"/>
    <col width="12" customWidth="1" min="4" max="4"/>
    <col width="13" customWidth="1" min="5" max="5"/>
    <col width="15" customWidth="1" min="6" max="6"/>
    <col width="11" customWidth="1" min="7" max="7"/>
    <col width="12" customWidth="1" min="8" max="8"/>
    <col width="12" customWidth="1" min="9" max="9"/>
    <col width="2.4" customWidth="1" min="11" max="11"/>
    <col width="2.4" customWidth="1" min="12" max="12"/>
  </cols>
  <sheetData>
    <row r="1">
      <c r="A1" s="1" t="n"/>
      <c r="B1" s="2" t="n"/>
      <c r="C1" s="2" t="n"/>
      <c r="D1" s="2" t="n"/>
      <c r="E1" s="2" t="n"/>
      <c r="F1" s="2" t="n"/>
      <c r="G1" s="2" t="n"/>
      <c r="H1" s="2" t="n"/>
      <c r="I1" s="2" t="n"/>
      <c r="J1" s="2" t="n"/>
      <c r="K1" s="2" t="n"/>
      <c r="L1" s="2" t="n"/>
    </row>
    <row r="2" ht="30" customHeight="1">
      <c r="A2" s="2" t="n"/>
      <c r="B2" s="22" t="inlineStr">
        <is>
          <t>Change Orders</t>
        </is>
      </c>
      <c r="C2" s="2" t="n"/>
      <c r="D2" s="2" t="n"/>
      <c r="E2" s="2" t="n"/>
      <c r="F2" s="2" t="n"/>
      <c r="G2" s="2" t="n"/>
      <c r="H2" s="2" t="n"/>
      <c r="I2" s="2" t="n"/>
      <c r="J2" s="2" t="n"/>
      <c r="K2" s="2" t="n"/>
      <c r="L2" s="2" t="n"/>
    </row>
    <row r="3" ht="18" customHeight="1">
      <c r="A3" s="2" t="n"/>
      <c r="B3" s="23" t="inlineStr">
        <is>
          <t>2 approved · net $-26,935 to contract</t>
        </is>
      </c>
      <c r="C3" s="2" t="n"/>
      <c r="D3" s="2" t="n"/>
      <c r="E3" s="2" t="n"/>
      <c r="F3" s="2" t="n"/>
      <c r="G3" s="2" t="n"/>
      <c r="H3" s="2" t="n"/>
      <c r="I3" s="2" t="n"/>
      <c r="J3" s="2" t="n"/>
      <c r="K3" s="2" t="n"/>
      <c r="L3" s="2" t="n"/>
    </row>
    <row r="4" ht="3" customHeight="1">
      <c r="A4" s="2" t="n"/>
      <c r="B4" s="5" t="n"/>
      <c r="C4" s="2" t="n"/>
      <c r="D4" s="2" t="n"/>
      <c r="E4" s="2" t="n"/>
      <c r="F4" s="2" t="n"/>
      <c r="G4" s="2" t="n"/>
      <c r="H4" s="2" t="n"/>
      <c r="I4" s="2" t="n"/>
      <c r="J4" s="2" t="n"/>
      <c r="K4" s="2" t="n"/>
      <c r="L4" s="2" t="n"/>
    </row>
    <row r="5">
      <c r="A5" s="2" t="n"/>
      <c r="B5" s="2" t="n"/>
      <c r="C5" s="2" t="n"/>
      <c r="D5" s="2" t="n"/>
      <c r="E5" s="2" t="n"/>
      <c r="F5" s="2" t="n"/>
      <c r="G5" s="2" t="n"/>
      <c r="H5" s="2" t="n"/>
      <c r="I5" s="2" t="n"/>
      <c r="J5" s="2" t="n"/>
      <c r="K5" s="2" t="n"/>
      <c r="L5" s="2" t="n"/>
    </row>
    <row r="6" ht="26" customHeight="1">
      <c r="A6" s="2" t="n"/>
      <c r="B6" s="39" t="inlineStr">
        <is>
          <t>CO #</t>
        </is>
      </c>
      <c r="C6" s="38" t="inlineStr">
        <is>
          <t>Title</t>
        </is>
      </c>
      <c r="D6" s="38" t="inlineStr">
        <is>
          <t>Status</t>
        </is>
      </c>
      <c r="E6" s="38" t="inlineStr">
        <is>
          <t>Amount</t>
        </is>
      </c>
      <c r="F6" s="38" t="inlineStr">
        <is>
          <t>Reason</t>
        </is>
      </c>
      <c r="G6" s="39" t="inlineStr">
        <is>
          <t>Sched Days</t>
        </is>
      </c>
      <c r="H6" s="39" t="inlineStr">
        <is>
          <t>Submitted</t>
        </is>
      </c>
      <c r="I6" s="39" t="inlineStr">
        <is>
          <t>Approved</t>
        </is>
      </c>
      <c r="J6" s="2" t="n"/>
      <c r="K6" s="2" t="n"/>
      <c r="L6" s="2" t="n"/>
    </row>
    <row r="7" ht="15" customHeight="1">
      <c r="A7" s="2" t="n"/>
      <c r="B7" s="41" t="inlineStr">
        <is>
          <t>CO #001</t>
        </is>
      </c>
      <c r="C7" s="40" t="inlineStr">
        <is>
          <t>Deduct for Deleted Embeds</t>
        </is>
      </c>
      <c r="D7" s="43" t="inlineStr">
        <is>
          <t>Approved</t>
        </is>
      </c>
      <c r="E7" s="79" t="n">
        <v>-4025.44</v>
      </c>
      <c r="F7" s="40" t="inlineStr">
        <is>
          <t>Owner Request</t>
        </is>
      </c>
      <c r="G7" s="42" t="n">
        <v>0</v>
      </c>
      <c r="H7" s="53" t="n">
        <v>46132</v>
      </c>
      <c r="I7" s="53" t="n">
        <v>46139</v>
      </c>
      <c r="J7" s="2" t="n"/>
      <c r="K7" s="2" t="n"/>
      <c r="L7" s="2" t="n"/>
    </row>
    <row r="8" ht="15" customHeight="1">
      <c r="A8" s="2" t="n"/>
      <c r="B8" s="47" t="inlineStr">
        <is>
          <t>CO #002</t>
        </is>
      </c>
      <c r="C8" s="46" t="inlineStr">
        <is>
          <t>Deduct for SES / Rolling Gates</t>
        </is>
      </c>
      <c r="D8" s="43" t="inlineStr">
        <is>
          <t>Approved</t>
        </is>
      </c>
      <c r="E8" s="80" t="n">
        <v>-22910</v>
      </c>
      <c r="F8" s="46" t="inlineStr">
        <is>
          <t>Owner Request</t>
        </is>
      </c>
      <c r="G8" s="48" t="n">
        <v>0</v>
      </c>
      <c r="H8" s="54" t="n">
        <v>46132</v>
      </c>
      <c r="I8" s="54" t="n">
        <v>46139</v>
      </c>
      <c r="J8" s="2" t="n"/>
      <c r="K8" s="2" t="n"/>
      <c r="L8" s="2" t="n"/>
    </row>
    <row r="9" ht="18" customHeight="1">
      <c r="A9" s="2" t="n"/>
      <c r="B9" s="69" t="inlineStr">
        <is>
          <t>TOTAL</t>
        </is>
      </c>
      <c r="C9" s="70" t="inlineStr"/>
      <c r="D9" s="70" t="inlineStr"/>
      <c r="E9" s="81">
        <f>SUM(E7:E8)</f>
        <v/>
      </c>
      <c r="F9" s="70" t="inlineStr"/>
      <c r="G9" s="70" t="inlineStr"/>
      <c r="H9" s="70" t="inlineStr"/>
      <c r="I9" s="70" t="inlineStr"/>
      <c r="J9" s="2" t="n"/>
      <c r="K9" s="2" t="n"/>
      <c r="L9" s="2" t="n"/>
    </row>
    <row r="10">
      <c r="A10" s="2" t="n"/>
      <c r="B10" s="2" t="n"/>
      <c r="C10" s="2" t="n"/>
      <c r="D10" s="2" t="n"/>
      <c r="E10" s="2" t="n"/>
      <c r="F10" s="2" t="n"/>
      <c r="G10" s="2" t="n"/>
      <c r="H10" s="2" t="n"/>
      <c r="I10" s="2" t="n"/>
      <c r="J10" s="2" t="n"/>
      <c r="K10" s="2" t="n"/>
      <c r="L10" s="2" t="n"/>
    </row>
    <row r="11" ht="22" customHeight="1">
      <c r="A11" s="2" t="n"/>
      <c r="B11" s="9" t="inlineStr">
        <is>
          <t>CHANGE NARRATIVE</t>
        </is>
      </c>
      <c r="C11" s="2" t="n"/>
      <c r="D11" s="2" t="n"/>
      <c r="E11" s="2" t="n"/>
      <c r="F11" s="2" t="n"/>
      <c r="G11" s="2" t="n"/>
      <c r="H11" s="2" t="n"/>
      <c r="I11" s="2" t="n"/>
      <c r="J11" s="2" t="n"/>
      <c r="K11" s="2" t="n"/>
      <c r="L11" s="2" t="n"/>
    </row>
    <row r="12" ht="42" customHeight="1">
      <c r="A12" s="2" t="n"/>
      <c r="B12" s="82" t="inlineStr">
        <is>
          <t xml:space="preserve"> CO #001</t>
        </is>
      </c>
      <c r="C12" s="2" t="n"/>
      <c r="D12" s="83" t="inlineStr">
        <is>
          <t>Removal of (181) embed pieces, piece marks EM105, from project scope per the direction of Damon Spangle.</t>
        </is>
      </c>
      <c r="E12" s="2" t="n"/>
      <c r="F12" s="2" t="n"/>
      <c r="G12" s="2" t="n"/>
      <c r="H12" s="2" t="n"/>
      <c r="I12" s="2" t="n"/>
      <c r="J12" s="2" t="n"/>
      <c r="K12" s="2" t="n"/>
      <c r="L12" s="2" t="n"/>
    </row>
    <row r="13" ht="42" customHeight="1">
      <c r="A13" s="2" t="n"/>
      <c r="B13" s="82" t="inlineStr">
        <is>
          <t xml:space="preserve"> CO #002</t>
        </is>
      </c>
      <c r="C13" s="2" t="n"/>
      <c r="D13" s="83" t="inlineStr">
        <is>
          <t>This Change Order is issued to remove the SES Gates and Rolling Gates from S&amp;H Steel's scope of work. These items have been removed from the contract scope and will no longer be fabricated, supplied, or installed by S&amp;H Steel Co.</t>
        </is>
      </c>
      <c r="E13" s="2" t="n"/>
      <c r="F13" s="2" t="n"/>
      <c r="G13" s="2" t="n"/>
      <c r="H13" s="2" t="n"/>
      <c r="I13" s="2" t="n"/>
      <c r="J13" s="2" t="n"/>
      <c r="K13" s="2" t="n"/>
      <c r="L13" s="2" t="n"/>
    </row>
    <row r="14">
      <c r="A14" s="2" t="n"/>
      <c r="B14" s="2" t="n"/>
      <c r="C14" s="2" t="n"/>
      <c r="D14" s="2" t="n"/>
      <c r="E14" s="2" t="n"/>
      <c r="F14" s="2" t="n"/>
      <c r="G14" s="2" t="n"/>
      <c r="H14" s="2" t="n"/>
      <c r="I14" s="2" t="n"/>
      <c r="J14" s="2" t="n"/>
      <c r="K14" s="2" t="n"/>
      <c r="L14" s="2" t="n"/>
    </row>
    <row r="15">
      <c r="A15" s="2" t="n"/>
      <c r="B15" s="2" t="n"/>
      <c r="C15" s="2" t="n"/>
      <c r="D15" s="2" t="n"/>
      <c r="E15" s="2" t="n"/>
      <c r="F15" s="2" t="n"/>
      <c r="G15" s="2" t="n"/>
      <c r="H15" s="2" t="n"/>
      <c r="I15" s="2" t="n"/>
      <c r="J15" s="2" t="n"/>
      <c r="K15" s="2" t="n"/>
      <c r="L15" s="2" t="n"/>
    </row>
    <row r="16">
      <c r="A16" s="2" t="n"/>
      <c r="B16" s="2" t="n"/>
      <c r="C16" s="2" t="n"/>
      <c r="D16" s="2" t="n"/>
      <c r="E16" s="2" t="n"/>
      <c r="F16" s="2" t="n"/>
      <c r="G16" s="2" t="n"/>
      <c r="H16" s="2" t="n"/>
      <c r="I16" s="2" t="n"/>
      <c r="J16" s="2" t="n"/>
      <c r="K16" s="2" t="n"/>
      <c r="L16" s="2" t="n"/>
    </row>
    <row r="17">
      <c r="A17" s="2" t="n"/>
      <c r="B17" s="2" t="n"/>
      <c r="C17" s="2" t="n"/>
      <c r="D17" s="2" t="n"/>
      <c r="E17" s="2" t="n"/>
      <c r="F17" s="2" t="n"/>
      <c r="G17" s="2" t="n"/>
      <c r="H17" s="2" t="n"/>
      <c r="I17" s="2" t="n"/>
      <c r="J17" s="2" t="n"/>
      <c r="K17" s="2" t="n"/>
      <c r="L17" s="2" t="n"/>
    </row>
  </sheetData>
  <autoFilter ref="B6:I8"/>
  <mergeCells count="9">
    <mergeCell ref="B13:C13"/>
    <mergeCell ref="B11:J11"/>
    <mergeCell ref="B3:J3"/>
    <mergeCell ref="A1:L1"/>
    <mergeCell ref="D12:J12"/>
    <mergeCell ref="B4:J4"/>
    <mergeCell ref="D13:J13"/>
    <mergeCell ref="B2:J2"/>
    <mergeCell ref="B12:C12"/>
  </mergeCells>
  <pageMargins left="0.75" right="0.75" top="1" bottom="1" header="0.5" footer="0.5"/>
</worksheet>
</file>

<file path=xl/worksheets/sheet13.xml><?xml version="1.0" encoding="utf-8"?>
<worksheet xmlns="http://schemas.openxmlformats.org/spreadsheetml/2006/main">
  <sheetPr>
    <tabColor rgb="001F2937"/>
    <outlinePr summaryBelow="1" summaryRight="1"/>
    <pageSetUpPr/>
  </sheetPr>
  <dimension ref="A1:K29"/>
  <sheetViews>
    <sheetView showGridLines="0" workbookViewId="0">
      <selection activeCell="A1" sqref="A1"/>
    </sheetView>
  </sheetViews>
  <sheetFormatPr baseColWidth="8" defaultRowHeight="15"/>
  <cols>
    <col width="2.4" customWidth="1" min="1" max="1"/>
    <col width="2.4" customWidth="1" min="10" max="10"/>
    <col width="2.4" customWidth="1" min="11" max="11"/>
  </cols>
  <sheetData>
    <row r="1">
      <c r="A1" s="1" t="n"/>
      <c r="B1" s="2" t="n"/>
      <c r="C1" s="2" t="n"/>
      <c r="D1" s="2" t="n"/>
      <c r="E1" s="2" t="n"/>
      <c r="F1" s="2" t="n"/>
      <c r="G1" s="2" t="n"/>
      <c r="H1" s="2" t="n"/>
      <c r="I1" s="2" t="n"/>
      <c r="J1" s="2" t="n"/>
      <c r="K1" s="2" t="n"/>
    </row>
    <row r="2" ht="30" customHeight="1">
      <c r="A2" s="2" t="n"/>
      <c r="B2" s="22" t="inlineStr">
        <is>
          <t>Financials</t>
        </is>
      </c>
      <c r="C2" s="2" t="n"/>
      <c r="D2" s="2" t="n"/>
      <c r="E2" s="2" t="n"/>
      <c r="F2" s="2" t="n"/>
      <c r="G2" s="2" t="n"/>
      <c r="H2" s="2" t="n"/>
      <c r="I2" s="2" t="n"/>
      <c r="J2" s="2" t="n"/>
      <c r="K2" s="2" t="n"/>
    </row>
    <row r="3" ht="18" customHeight="1">
      <c r="A3" s="2" t="n"/>
      <c r="B3" s="23" t="inlineStr">
        <is>
          <t>Lump-sum contract value, change-order adjustments &amp; the AIA G702/G703 pay-app structure</t>
        </is>
      </c>
      <c r="C3" s="2" t="n"/>
      <c r="D3" s="2" t="n"/>
      <c r="E3" s="2" t="n"/>
      <c r="F3" s="2" t="n"/>
      <c r="G3" s="2" t="n"/>
      <c r="H3" s="2" t="n"/>
      <c r="I3" s="2" t="n"/>
      <c r="J3" s="2" t="n"/>
      <c r="K3" s="2" t="n"/>
    </row>
    <row r="4" ht="3" customHeight="1">
      <c r="A4" s="2" t="n"/>
      <c r="B4" s="5" t="n"/>
      <c r="C4" s="2" t="n"/>
      <c r="D4" s="2" t="n"/>
      <c r="E4" s="2" t="n"/>
      <c r="F4" s="2" t="n"/>
      <c r="G4" s="2" t="n"/>
      <c r="H4" s="2" t="n"/>
      <c r="I4" s="2" t="n"/>
      <c r="J4" s="2" t="n"/>
      <c r="K4" s="2" t="n"/>
    </row>
    <row r="5">
      <c r="A5" s="2" t="n"/>
      <c r="B5" s="2" t="n"/>
      <c r="C5" s="2" t="n"/>
      <c r="D5" s="2" t="n"/>
      <c r="E5" s="2" t="n"/>
      <c r="F5" s="2" t="n"/>
      <c r="G5" s="2" t="n"/>
      <c r="H5" s="2" t="n"/>
      <c r="I5" s="2" t="n"/>
      <c r="J5" s="2" t="n"/>
      <c r="K5" s="2" t="n"/>
    </row>
    <row r="6" ht="22" customHeight="1">
      <c r="A6" s="2" t="n"/>
      <c r="B6" s="9" t="inlineStr">
        <is>
          <t>CONTRACT SUMMARY</t>
        </is>
      </c>
      <c r="C6" s="2" t="n"/>
      <c r="D6" s="2" t="n"/>
      <c r="E6" s="2" t="n"/>
      <c r="F6" s="2" t="n"/>
      <c r="G6" s="2" t="n"/>
      <c r="H6" s="2" t="n"/>
      <c r="I6" s="2" t="n"/>
      <c r="J6" s="2" t="n"/>
      <c r="K6" s="2" t="n"/>
    </row>
    <row r="7">
      <c r="A7" s="2" t="n"/>
      <c r="B7" s="84" t="inlineStr">
        <is>
          <t xml:space="preserve">  Original Contract Value</t>
        </is>
      </c>
      <c r="C7" s="2" t="n"/>
      <c r="D7" s="2" t="n"/>
      <c r="E7" s="2" t="n"/>
      <c r="F7" s="85" t="n">
        <v>1895403</v>
      </c>
      <c r="G7" s="2" t="n"/>
      <c r="H7" s="2" t="n"/>
      <c r="I7" s="2" t="n"/>
      <c r="J7" s="2" t="n"/>
      <c r="K7" s="2" t="n"/>
    </row>
    <row r="8">
      <c r="A8" s="2" t="n"/>
      <c r="B8" s="84" t="inlineStr">
        <is>
          <t xml:space="preserve">  Net Approved Change Orders</t>
        </is>
      </c>
      <c r="C8" s="2" t="n"/>
      <c r="D8" s="2" t="n"/>
      <c r="E8" s="2" t="n"/>
      <c r="F8" s="86" t="n">
        <v>-26935.44</v>
      </c>
      <c r="G8" s="2" t="n"/>
      <c r="H8" s="2" t="n"/>
      <c r="I8" s="2" t="n"/>
      <c r="J8" s="2" t="n"/>
      <c r="K8" s="2" t="n"/>
    </row>
    <row r="9">
      <c r="A9" s="2" t="n"/>
      <c r="B9" s="84" t="inlineStr">
        <is>
          <t xml:space="preserve">  Adjusted Contract Value</t>
        </is>
      </c>
      <c r="C9" s="2" t="n"/>
      <c r="D9" s="2" t="n"/>
      <c r="E9" s="2" t="n"/>
      <c r="F9" s="87">
        <f>F7+F8</f>
        <v/>
      </c>
      <c r="G9" s="2" t="n"/>
      <c r="H9" s="2" t="n"/>
      <c r="I9" s="2" t="n"/>
      <c r="J9" s="2" t="n"/>
      <c r="K9" s="2" t="n"/>
    </row>
    <row r="10">
      <c r="A10" s="2" t="n"/>
      <c r="B10" s="84" t="inlineStr">
        <is>
          <t xml:space="preserve">  Retainage (10%)</t>
        </is>
      </c>
      <c r="C10" s="2" t="n"/>
      <c r="D10" s="2" t="n"/>
      <c r="E10" s="2" t="n"/>
      <c r="F10" s="88">
        <f>-F9*0.1</f>
        <v/>
      </c>
      <c r="G10" s="2" t="n"/>
      <c r="H10" s="2" t="n"/>
      <c r="I10" s="2" t="n"/>
      <c r="J10" s="2" t="n"/>
      <c r="K10" s="2" t="n"/>
    </row>
    <row r="11">
      <c r="A11" s="2" t="n"/>
      <c r="B11" s="84" t="inlineStr">
        <is>
          <t xml:space="preserve">  Contract Less Retainage</t>
        </is>
      </c>
      <c r="C11" s="2" t="n"/>
      <c r="D11" s="2" t="n"/>
      <c r="E11" s="2" t="n"/>
      <c r="F11" s="89">
        <f>F9+F10</f>
        <v/>
      </c>
      <c r="G11" s="2" t="n"/>
      <c r="H11" s="2" t="n"/>
      <c r="I11" s="2" t="n"/>
      <c r="J11" s="2" t="n"/>
      <c r="K11" s="2" t="n"/>
    </row>
    <row r="12">
      <c r="A12" s="2" t="n"/>
      <c r="B12" s="2" t="n"/>
      <c r="C12" s="2" t="n"/>
      <c r="D12" s="2" t="n"/>
      <c r="E12" s="2" t="n"/>
      <c r="F12" s="2" t="n"/>
      <c r="G12" s="2" t="n"/>
      <c r="H12" s="2" t="n"/>
      <c r="I12" s="2" t="n"/>
      <c r="J12" s="2" t="n"/>
      <c r="K12" s="2" t="n"/>
    </row>
    <row r="13" ht="22" customHeight="1">
      <c r="A13" s="2" t="n"/>
      <c r="B13" s="9" t="inlineStr">
        <is>
          <t>AIA G702 / G703 PAY APPLICATION</t>
        </is>
      </c>
      <c r="C13" s="2" t="n"/>
      <c r="D13" s="2" t="n"/>
      <c r="E13" s="2" t="n"/>
      <c r="F13" s="2" t="n"/>
      <c r="G13" s="2" t="n"/>
      <c r="H13" s="2" t="n"/>
      <c r="I13" s="2" t="n"/>
      <c r="J13" s="2" t="n"/>
      <c r="K13" s="2" t="n"/>
    </row>
    <row r="14" ht="18" customHeight="1">
      <c r="A14" s="2" t="n"/>
      <c r="B14" s="90" t="inlineStr">
        <is>
          <t xml:space="preserve">   No pay applications submitted yet for this project.</t>
        </is>
      </c>
      <c r="C14" s="74" t="n"/>
      <c r="D14" s="74" t="n"/>
      <c r="E14" s="74" t="n"/>
      <c r="F14" s="74" t="n"/>
      <c r="G14" s="74" t="n"/>
      <c r="H14" s="74" t="n"/>
      <c r="I14" s="74" t="n"/>
      <c r="J14" s="2" t="n"/>
      <c r="K14" s="2" t="n"/>
    </row>
    <row r="15" ht="18" customHeight="1">
      <c r="A15" s="2" t="n"/>
      <c r="B15" s="75" t="inlineStr">
        <is>
          <t xml:space="preserve">   SteelBuild Pro generates AIA G702/G703 applications from the Schedule of Values; figures use an integer-cents money model.</t>
        </is>
      </c>
      <c r="C15" s="74" t="n"/>
      <c r="D15" s="74" t="n"/>
      <c r="E15" s="74" t="n"/>
      <c r="F15" s="74" t="n"/>
      <c r="G15" s="74" t="n"/>
      <c r="H15" s="74" t="n"/>
      <c r="I15" s="74" t="n"/>
      <c r="J15" s="2" t="n"/>
      <c r="K15" s="2" t="n"/>
    </row>
    <row r="16">
      <c r="A16" s="2" t="n"/>
      <c r="B16" s="2" t="n"/>
      <c r="C16" s="2" t="n"/>
      <c r="D16" s="2" t="n"/>
      <c r="E16" s="2" t="n"/>
      <c r="F16" s="2" t="n"/>
      <c r="G16" s="2" t="n"/>
      <c r="H16" s="2" t="n"/>
      <c r="I16" s="2" t="n"/>
      <c r="J16" s="2" t="n"/>
      <c r="K16" s="2" t="n"/>
    </row>
    <row r="17">
      <c r="A17" s="2" t="n"/>
      <c r="B17" s="57" t="inlineStr">
        <is>
          <t>1</t>
        </is>
      </c>
      <c r="C17" s="91" t="inlineStr">
        <is>
          <t xml:space="preserve"> Original Contract Sum</t>
        </is>
      </c>
      <c r="D17" s="2" t="n"/>
      <c r="E17" s="2" t="n"/>
      <c r="F17" s="2" t="n"/>
      <c r="G17" s="2" t="n"/>
      <c r="H17" s="92" t="n">
        <v>1895403</v>
      </c>
      <c r="I17" s="2" t="n"/>
      <c r="J17" s="2" t="n"/>
      <c r="K17" s="2" t="n"/>
    </row>
    <row r="18">
      <c r="A18" s="2" t="n"/>
      <c r="B18" s="57" t="inlineStr">
        <is>
          <t>2</t>
        </is>
      </c>
      <c r="C18" s="91" t="inlineStr">
        <is>
          <t xml:space="preserve"> Net change by Change Orders</t>
        </is>
      </c>
      <c r="D18" s="2" t="n"/>
      <c r="E18" s="2" t="n"/>
      <c r="F18" s="2" t="n"/>
      <c r="G18" s="2" t="n"/>
      <c r="H18" s="92" t="n">
        <v>-26935.44</v>
      </c>
      <c r="I18" s="2" t="n"/>
      <c r="J18" s="2" t="n"/>
      <c r="K18" s="2" t="n"/>
    </row>
    <row r="19">
      <c r="A19" s="2" t="n"/>
      <c r="B19" s="57" t="inlineStr">
        <is>
          <t>3</t>
        </is>
      </c>
      <c r="C19" s="91" t="inlineStr">
        <is>
          <t xml:space="preserve"> Contract Sum to Date (Line 1 ± 2)</t>
        </is>
      </c>
      <c r="D19" s="2" t="n"/>
      <c r="E19" s="2" t="n"/>
      <c r="F19" s="2" t="n"/>
      <c r="G19" s="2" t="n"/>
      <c r="H19" s="92">
        <f>H17+H18</f>
        <v/>
      </c>
      <c r="I19" s="2" t="n"/>
      <c r="J19" s="2" t="n"/>
      <c r="K19" s="2" t="n"/>
    </row>
    <row r="20">
      <c r="A20" s="2" t="n"/>
      <c r="B20" s="57" t="inlineStr">
        <is>
          <t>4</t>
        </is>
      </c>
      <c r="C20" s="91" t="inlineStr">
        <is>
          <t xml:space="preserve"> Total Completed &amp; Stored to Date</t>
        </is>
      </c>
      <c r="D20" s="2" t="n"/>
      <c r="E20" s="2" t="n"/>
      <c r="F20" s="2" t="n"/>
      <c r="G20" s="2" t="n"/>
      <c r="H20" s="92" t="n">
        <v>0</v>
      </c>
      <c r="I20" s="2" t="n"/>
      <c r="J20" s="2" t="n"/>
      <c r="K20" s="2" t="n"/>
    </row>
    <row r="21">
      <c r="A21" s="2" t="n"/>
      <c r="B21" s="57" t="inlineStr">
        <is>
          <t>5</t>
        </is>
      </c>
      <c r="C21" s="91" t="inlineStr">
        <is>
          <t xml:space="preserve"> Retainage</t>
        </is>
      </c>
      <c r="D21" s="2" t="n"/>
      <c r="E21" s="2" t="n"/>
      <c r="F21" s="2" t="n"/>
      <c r="G21" s="2" t="n"/>
      <c r="H21" s="92" t="n">
        <v>0</v>
      </c>
      <c r="I21" s="2" t="n"/>
      <c r="J21" s="2" t="n"/>
      <c r="K21" s="2" t="n"/>
    </row>
    <row r="22">
      <c r="A22" s="2" t="n"/>
      <c r="B22" s="57" t="inlineStr">
        <is>
          <t>6</t>
        </is>
      </c>
      <c r="C22" s="91" t="inlineStr">
        <is>
          <t xml:space="preserve"> Total Earned Less Retainage</t>
        </is>
      </c>
      <c r="D22" s="2" t="n"/>
      <c r="E22" s="2" t="n"/>
      <c r="F22" s="2" t="n"/>
      <c r="G22" s="2" t="n"/>
      <c r="H22" s="92" t="n">
        <v>0</v>
      </c>
      <c r="I22" s="2" t="n"/>
      <c r="J22" s="2" t="n"/>
      <c r="K22" s="2" t="n"/>
    </row>
    <row r="23">
      <c r="A23" s="2" t="n"/>
      <c r="B23" s="57" t="inlineStr">
        <is>
          <t>7</t>
        </is>
      </c>
      <c r="C23" s="91" t="inlineStr">
        <is>
          <t xml:space="preserve"> Less Previous Certificates for Payment</t>
        </is>
      </c>
      <c r="D23" s="2" t="n"/>
      <c r="E23" s="2" t="n"/>
      <c r="F23" s="2" t="n"/>
      <c r="G23" s="2" t="n"/>
      <c r="H23" s="92" t="n">
        <v>0</v>
      </c>
      <c r="I23" s="2" t="n"/>
      <c r="J23" s="2" t="n"/>
      <c r="K23" s="2" t="n"/>
    </row>
    <row r="24">
      <c r="A24" s="2" t="n"/>
      <c r="B24" s="57" t="inlineStr">
        <is>
          <t>8</t>
        </is>
      </c>
      <c r="C24" s="91" t="inlineStr">
        <is>
          <t xml:space="preserve"> Current Payment Due</t>
        </is>
      </c>
      <c r="D24" s="2" t="n"/>
      <c r="E24" s="2" t="n"/>
      <c r="F24" s="2" t="n"/>
      <c r="G24" s="2" t="n"/>
      <c r="H24" s="92" t="n">
        <v>0</v>
      </c>
      <c r="I24" s="2" t="n"/>
      <c r="J24" s="2" t="n"/>
      <c r="K24" s="2" t="n"/>
    </row>
    <row r="25">
      <c r="A25" s="2" t="n"/>
      <c r="B25" s="57" t="inlineStr">
        <is>
          <t>9</t>
        </is>
      </c>
      <c r="C25" s="91" t="inlineStr">
        <is>
          <t xml:space="preserve"> Balance to Finish (Line 3 less Line 6)</t>
        </is>
      </c>
      <c r="D25" s="2" t="n"/>
      <c r="E25" s="2" t="n"/>
      <c r="F25" s="2" t="n"/>
      <c r="G25" s="2" t="n"/>
      <c r="H25" s="92">
        <f>H19-H22</f>
        <v/>
      </c>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sheetData>
  <mergeCells count="34">
    <mergeCell ref="B9:E9"/>
    <mergeCell ref="F11:G11"/>
    <mergeCell ref="H20:I20"/>
    <mergeCell ref="F10:G10"/>
    <mergeCell ref="C24:G24"/>
    <mergeCell ref="B3:I3"/>
    <mergeCell ref="A1:K1"/>
    <mergeCell ref="F7:G7"/>
    <mergeCell ref="H25:I25"/>
    <mergeCell ref="H21:I21"/>
    <mergeCell ref="C20:G20"/>
    <mergeCell ref="B2:I2"/>
    <mergeCell ref="C25:G25"/>
    <mergeCell ref="B7:E7"/>
    <mergeCell ref="C22:G22"/>
    <mergeCell ref="H17:I17"/>
    <mergeCell ref="F8:G8"/>
    <mergeCell ref="B13:I13"/>
    <mergeCell ref="C21:G21"/>
    <mergeCell ref="B11:E11"/>
    <mergeCell ref="H19:I19"/>
    <mergeCell ref="H22:I22"/>
    <mergeCell ref="C23:G23"/>
    <mergeCell ref="F9:G9"/>
    <mergeCell ref="C17:G17"/>
    <mergeCell ref="B8:E8"/>
    <mergeCell ref="B6:I6"/>
    <mergeCell ref="H24:I24"/>
    <mergeCell ref="H18:I18"/>
    <mergeCell ref="C19:G19"/>
    <mergeCell ref="H23:I23"/>
    <mergeCell ref="B10:E10"/>
    <mergeCell ref="C18:G18"/>
    <mergeCell ref="B4:I4"/>
  </mergeCells>
  <pageMargins left="0.75" right="0.75" top="1" bottom="1" header="0.5" footer="0.5"/>
</worksheet>
</file>

<file path=xl/worksheets/sheet14.xml><?xml version="1.0" encoding="utf-8"?>
<worksheet xmlns="http://schemas.openxmlformats.org/spreadsheetml/2006/main">
  <sheetPr>
    <tabColor rgb="001F2937"/>
    <outlinePr summaryBelow="1" summaryRight="1"/>
    <pageSetUpPr/>
  </sheetPr>
  <dimension ref="A1:M2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15" customWidth="1" min="3" max="3"/>
    <col width="18" customWidth="1" min="4" max="4"/>
    <col width="14" customWidth="1" min="5" max="5"/>
    <col width="15" customWidth="1" min="6" max="6"/>
    <col width="30" customWidth="1" min="7" max="7"/>
    <col width="7" customWidth="1" min="8" max="8"/>
    <col width="10" customWidth="1" min="9" max="9"/>
    <col width="10" customWidth="1" min="10" max="10"/>
    <col width="9" customWidth="1" min="11" max="11"/>
    <col width="2.4" customWidth="1" min="12" max="12"/>
    <col width="2.4" customWidth="1" min="13" max="13"/>
  </cols>
  <sheetData>
    <row r="1">
      <c r="A1" s="1" t="n"/>
      <c r="B1" s="2" t="n"/>
      <c r="C1" s="2" t="n"/>
      <c r="D1" s="2" t="n"/>
      <c r="E1" s="2" t="n"/>
      <c r="F1" s="2" t="n"/>
      <c r="G1" s="2" t="n"/>
      <c r="H1" s="2" t="n"/>
      <c r="I1" s="2" t="n"/>
      <c r="J1" s="2" t="n"/>
      <c r="K1" s="2" t="n"/>
      <c r="L1" s="2" t="n"/>
      <c r="M1" s="2" t="n"/>
    </row>
    <row r="2" ht="30" customHeight="1">
      <c r="A2" s="2" t="n"/>
      <c r="B2" s="22" t="inlineStr">
        <is>
          <t>Vendors</t>
        </is>
      </c>
      <c r="C2" s="2" t="n"/>
      <c r="D2" s="2" t="n"/>
      <c r="E2" s="2" t="n"/>
      <c r="F2" s="2" t="n"/>
      <c r="G2" s="2" t="n"/>
      <c r="H2" s="2" t="n"/>
      <c r="I2" s="2" t="n"/>
      <c r="J2" s="2" t="n"/>
      <c r="K2" s="2" t="n"/>
      <c r="L2" s="2" t="n"/>
      <c r="M2" s="2" t="n"/>
    </row>
    <row r="3" ht="18" customHeight="1">
      <c r="A3" s="2" t="n"/>
      <c r="B3" s="23" t="inlineStr">
        <is>
          <t>12 subcontractors, suppliers &amp; service providers</t>
        </is>
      </c>
      <c r="C3" s="2" t="n"/>
      <c r="D3" s="2" t="n"/>
      <c r="E3" s="2" t="n"/>
      <c r="F3" s="2" t="n"/>
      <c r="G3" s="2" t="n"/>
      <c r="H3" s="2" t="n"/>
      <c r="I3" s="2" t="n"/>
      <c r="J3" s="2" t="n"/>
      <c r="K3" s="2" t="n"/>
      <c r="L3" s="2" t="n"/>
      <c r="M3" s="2" t="n"/>
    </row>
    <row r="4" ht="3" customHeight="1">
      <c r="A4" s="2" t="n"/>
      <c r="B4" s="5"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ht="26" customHeight="1">
      <c r="A6" s="2" t="n"/>
      <c r="B6" s="38" t="inlineStr">
        <is>
          <t>Company</t>
        </is>
      </c>
      <c r="C6" s="38" t="inlineStr">
        <is>
          <t>Type</t>
        </is>
      </c>
      <c r="D6" s="38" t="inlineStr">
        <is>
          <t>Contact</t>
        </is>
      </c>
      <c r="E6" s="38" t="inlineStr">
        <is>
          <t>Title</t>
        </is>
      </c>
      <c r="F6" s="38" t="inlineStr">
        <is>
          <t>Phone</t>
        </is>
      </c>
      <c r="G6" s="38" t="inlineStr">
        <is>
          <t>Email</t>
        </is>
      </c>
      <c r="H6" s="39" t="inlineStr">
        <is>
          <t>State</t>
        </is>
      </c>
      <c r="I6" s="39" t="inlineStr">
        <is>
          <t>Preferred</t>
        </is>
      </c>
      <c r="J6" s="39" t="inlineStr">
        <is>
          <t>Terms</t>
        </is>
      </c>
      <c r="K6" s="38" t="inlineStr">
        <is>
          <t>Status</t>
        </is>
      </c>
      <c r="L6" s="2" t="n"/>
      <c r="M6" s="2" t="n"/>
    </row>
    <row r="7" ht="15" customHeight="1">
      <c r="A7" s="2" t="n"/>
      <c r="B7" s="40" t="inlineStr">
        <is>
          <t>Alliance Steel</t>
        </is>
      </c>
      <c r="C7" s="40" t="inlineStr">
        <is>
          <t>Subcontractor</t>
        </is>
      </c>
      <c r="D7" s="40" t="inlineStr">
        <is>
          <t>Jesus Mendivil</t>
        </is>
      </c>
      <c r="E7" s="40" t="inlineStr">
        <is>
          <t>Owner</t>
        </is>
      </c>
      <c r="F7" s="40" t="inlineStr">
        <is>
          <t>602.703.8022</t>
        </is>
      </c>
      <c r="G7" s="40" t="inlineStr">
        <is>
          <t>alliancesteel.llc@outlook.com</t>
        </is>
      </c>
      <c r="H7" s="41" t="inlineStr"/>
      <c r="I7" s="44" t="inlineStr"/>
      <c r="J7" s="41" t="inlineStr">
        <is>
          <t>Net 30</t>
        </is>
      </c>
      <c r="K7" s="43" t="inlineStr">
        <is>
          <t>Active</t>
        </is>
      </c>
      <c r="L7" s="2" t="n"/>
      <c r="M7" s="2" t="n"/>
    </row>
    <row r="8" ht="15" customHeight="1">
      <c r="A8" s="2" t="n"/>
      <c r="B8" s="46" t="inlineStr">
        <is>
          <t>Amber Steel</t>
        </is>
      </c>
      <c r="C8" s="46" t="inlineStr">
        <is>
          <t>Subcontractor</t>
        </is>
      </c>
      <c r="D8" s="46" t="inlineStr">
        <is>
          <t>RH Bryant</t>
        </is>
      </c>
      <c r="E8" s="46" t="inlineStr">
        <is>
          <t>Owner</t>
        </is>
      </c>
      <c r="F8" s="46" t="inlineStr"/>
      <c r="G8" s="46" t="inlineStr"/>
      <c r="H8" s="47" t="inlineStr"/>
      <c r="I8" s="49" t="inlineStr"/>
      <c r="J8" s="47" t="inlineStr">
        <is>
          <t>Net 30</t>
        </is>
      </c>
      <c r="K8" s="43" t="inlineStr">
        <is>
          <t>Active</t>
        </is>
      </c>
      <c r="L8" s="2" t="n"/>
      <c r="M8" s="2" t="n"/>
    </row>
    <row r="9" ht="15" customHeight="1">
      <c r="A9" s="2" t="n"/>
      <c r="B9" s="40" t="inlineStr">
        <is>
          <t>ASC Deck</t>
        </is>
      </c>
      <c r="C9" s="40" t="inlineStr">
        <is>
          <t>Supplier</t>
        </is>
      </c>
      <c r="D9" s="40" t="inlineStr">
        <is>
          <t>Kevin Wright</t>
        </is>
      </c>
      <c r="E9" s="40" t="inlineStr"/>
      <c r="F9" s="40" t="inlineStr">
        <is>
          <t>916.420.0144</t>
        </is>
      </c>
      <c r="G9" s="40" t="inlineStr">
        <is>
          <t>kevin.wright@ascsteeldeck.com</t>
        </is>
      </c>
      <c r="H9" s="41" t="inlineStr"/>
      <c r="I9" s="44" t="inlineStr"/>
      <c r="J9" s="41" t="inlineStr">
        <is>
          <t>Net 30</t>
        </is>
      </c>
      <c r="K9" s="43" t="inlineStr">
        <is>
          <t>Active</t>
        </is>
      </c>
      <c r="L9" s="2" t="n"/>
      <c r="M9" s="2" t="n"/>
    </row>
    <row r="10" ht="15" customHeight="1">
      <c r="A10" s="2" t="n"/>
      <c r="B10" s="46" t="inlineStr">
        <is>
          <t>AV Deck</t>
        </is>
      </c>
      <c r="C10" s="46" t="inlineStr">
        <is>
          <t>Subcontractor</t>
        </is>
      </c>
      <c r="D10" s="46" t="inlineStr">
        <is>
          <t>April Velez</t>
        </is>
      </c>
      <c r="E10" s="46" t="inlineStr"/>
      <c r="F10" s="46" t="inlineStr">
        <is>
          <t>602.571.1502</t>
        </is>
      </c>
      <c r="G10" s="46" t="inlineStr">
        <is>
          <t>april@avdeckinc.com</t>
        </is>
      </c>
      <c r="H10" s="47" t="inlineStr"/>
      <c r="I10" s="49" t="inlineStr">
        <is>
          <t>✓</t>
        </is>
      </c>
      <c r="J10" s="47" t="inlineStr">
        <is>
          <t>Net 30</t>
        </is>
      </c>
      <c r="K10" s="43" t="inlineStr">
        <is>
          <t>Active</t>
        </is>
      </c>
      <c r="L10" s="2" t="n"/>
      <c r="M10" s="2" t="n"/>
    </row>
    <row r="11" ht="15" customHeight="1">
      <c r="A11" s="2" t="n"/>
      <c r="B11" s="40" t="inlineStr">
        <is>
          <t>Canam</t>
        </is>
      </c>
      <c r="C11" s="40" t="inlineStr">
        <is>
          <t>Supplier</t>
        </is>
      </c>
      <c r="D11" s="40" t="inlineStr">
        <is>
          <t>Marc Reid</t>
        </is>
      </c>
      <c r="E11" s="40" t="inlineStr"/>
      <c r="F11" s="40" t="inlineStr">
        <is>
          <t>480.639.8788</t>
        </is>
      </c>
      <c r="G11" s="40" t="inlineStr">
        <is>
          <t>marc.reid@cscsteelusa.com</t>
        </is>
      </c>
      <c r="H11" s="41" t="inlineStr"/>
      <c r="I11" s="44" t="inlineStr"/>
      <c r="J11" s="41" t="inlineStr">
        <is>
          <t>Net 30</t>
        </is>
      </c>
      <c r="K11" s="43" t="inlineStr">
        <is>
          <t>Active</t>
        </is>
      </c>
      <c r="L11" s="2" t="n"/>
      <c r="M11" s="2" t="n"/>
    </row>
    <row r="12" ht="15" customHeight="1">
      <c r="A12" s="2" t="n"/>
      <c r="B12" s="46" t="inlineStr">
        <is>
          <t>D&amp;V Steel</t>
        </is>
      </c>
      <c r="C12" s="46" t="inlineStr">
        <is>
          <t>Subcontractor</t>
        </is>
      </c>
      <c r="D12" s="46" t="inlineStr">
        <is>
          <t>Hector Duran Jr.</t>
        </is>
      </c>
      <c r="E12" s="46" t="inlineStr">
        <is>
          <t>Owner</t>
        </is>
      </c>
      <c r="F12" s="46" t="inlineStr">
        <is>
          <t>6029086837</t>
        </is>
      </c>
      <c r="G12" s="46" t="inlineStr">
        <is>
          <t>duranhr81@gmail.com</t>
        </is>
      </c>
      <c r="H12" s="47" t="inlineStr"/>
      <c r="I12" s="49" t="inlineStr">
        <is>
          <t>✓</t>
        </is>
      </c>
      <c r="J12" s="47" t="inlineStr">
        <is>
          <t>Net 30</t>
        </is>
      </c>
      <c r="K12" s="43" t="inlineStr">
        <is>
          <t>Active</t>
        </is>
      </c>
      <c r="L12" s="2" t="n"/>
      <c r="M12" s="2" t="n"/>
    </row>
    <row r="13" ht="15" customHeight="1">
      <c r="A13" s="2" t="n"/>
      <c r="B13" s="40" t="inlineStr">
        <is>
          <t>Empire Deck</t>
        </is>
      </c>
      <c r="C13" s="40" t="inlineStr">
        <is>
          <t>Subcontractor</t>
        </is>
      </c>
      <c r="D13" s="40" t="inlineStr">
        <is>
          <t>Greg</t>
        </is>
      </c>
      <c r="E13" s="40" t="inlineStr"/>
      <c r="F13" s="40" t="inlineStr">
        <is>
          <t>720.934.0119</t>
        </is>
      </c>
      <c r="G13" s="40" t="inlineStr">
        <is>
          <t>greg.t@gwdeck.com</t>
        </is>
      </c>
      <c r="H13" s="41" t="inlineStr"/>
      <c r="I13" s="44" t="inlineStr"/>
      <c r="J13" s="41" t="inlineStr">
        <is>
          <t>Net 30</t>
        </is>
      </c>
      <c r="K13" s="43" t="inlineStr">
        <is>
          <t>Active</t>
        </is>
      </c>
      <c r="L13" s="2" t="n"/>
      <c r="M13" s="2" t="n"/>
    </row>
    <row r="14" ht="15" customHeight="1">
      <c r="A14" s="2" t="n"/>
      <c r="B14" s="46" t="inlineStr">
        <is>
          <t>FM Steel</t>
        </is>
      </c>
      <c r="C14" s="46" t="inlineStr">
        <is>
          <t>Subcontractor</t>
        </is>
      </c>
      <c r="D14" s="46" t="inlineStr">
        <is>
          <t>Michael Mulsow</t>
        </is>
      </c>
      <c r="E14" s="46" t="inlineStr">
        <is>
          <t>Owner</t>
        </is>
      </c>
      <c r="F14" s="46" t="inlineStr"/>
      <c r="G14" s="46" t="inlineStr">
        <is>
          <t>m.mulsow@fmsteel.net</t>
        </is>
      </c>
      <c r="H14" s="47" t="inlineStr"/>
      <c r="I14" s="49" t="inlineStr"/>
      <c r="J14" s="47" t="inlineStr">
        <is>
          <t>Net 30</t>
        </is>
      </c>
      <c r="K14" s="43" t="inlineStr">
        <is>
          <t>Active</t>
        </is>
      </c>
      <c r="L14" s="2" t="n"/>
      <c r="M14" s="2" t="n"/>
    </row>
    <row r="15" ht="15" customHeight="1">
      <c r="A15" s="2" t="n"/>
      <c r="B15" s="40" t="inlineStr">
        <is>
          <t>HD Fabrication</t>
        </is>
      </c>
      <c r="C15" s="40" t="inlineStr">
        <is>
          <t>Subcontractor</t>
        </is>
      </c>
      <c r="D15" s="40" t="inlineStr">
        <is>
          <t>Steve</t>
        </is>
      </c>
      <c r="E15" s="40" t="inlineStr"/>
      <c r="F15" s="40" t="inlineStr"/>
      <c r="G15" s="40" t="inlineStr">
        <is>
          <t>steve@hdfabandmach.com</t>
        </is>
      </c>
      <c r="H15" s="41" t="inlineStr"/>
      <c r="I15" s="44" t="inlineStr"/>
      <c r="J15" s="41" t="inlineStr">
        <is>
          <t>Net 30</t>
        </is>
      </c>
      <c r="K15" s="43" t="inlineStr">
        <is>
          <t>Active</t>
        </is>
      </c>
      <c r="L15" s="2" t="n"/>
      <c r="M15" s="2" t="n"/>
    </row>
    <row r="16" ht="15" customHeight="1">
      <c r="A16" s="2" t="n"/>
      <c r="B16" s="46" t="inlineStr">
        <is>
          <t>Lightning Steel</t>
        </is>
      </c>
      <c r="C16" s="46" t="inlineStr">
        <is>
          <t>Subcontractor</t>
        </is>
      </c>
      <c r="D16" s="46" t="inlineStr">
        <is>
          <t>Sergio Hernandez</t>
        </is>
      </c>
      <c r="E16" s="46" t="inlineStr">
        <is>
          <t>Project Manager</t>
        </is>
      </c>
      <c r="F16" s="46" t="inlineStr">
        <is>
          <t>602.397.2266</t>
        </is>
      </c>
      <c r="G16" s="46" t="inlineStr">
        <is>
          <t>sergioh@lightningsteelerectors.com</t>
        </is>
      </c>
      <c r="H16" s="47" t="inlineStr">
        <is>
          <t>AZ</t>
        </is>
      </c>
      <c r="I16" s="49" t="inlineStr">
        <is>
          <t>✓</t>
        </is>
      </c>
      <c r="J16" s="47" t="inlineStr">
        <is>
          <t>Net 30</t>
        </is>
      </c>
      <c r="K16" s="43" t="inlineStr">
        <is>
          <t>Active</t>
        </is>
      </c>
      <c r="L16" s="2" t="n"/>
      <c r="M16" s="2" t="n"/>
    </row>
    <row r="17" ht="15" customHeight="1">
      <c r="A17" s="2" t="n"/>
      <c r="B17" s="40" t="inlineStr">
        <is>
          <t>New Millennium</t>
        </is>
      </c>
      <c r="C17" s="40" t="inlineStr">
        <is>
          <t>Supplier</t>
        </is>
      </c>
      <c r="D17" s="40" t="inlineStr">
        <is>
          <t>John Degidio</t>
        </is>
      </c>
      <c r="E17" s="40" t="inlineStr"/>
      <c r="F17" s="40" t="inlineStr">
        <is>
          <t>909.208.2776</t>
        </is>
      </c>
      <c r="G17" s="40" t="inlineStr">
        <is>
          <t>john.degidio@newmill.com</t>
        </is>
      </c>
      <c r="H17" s="41" t="inlineStr"/>
      <c r="I17" s="44" t="inlineStr"/>
      <c r="J17" s="41" t="inlineStr">
        <is>
          <t>Net 30</t>
        </is>
      </c>
      <c r="K17" s="43" t="inlineStr">
        <is>
          <t>Active</t>
        </is>
      </c>
      <c r="L17" s="2" t="n"/>
      <c r="M17" s="2" t="n"/>
    </row>
    <row r="18" ht="15" customHeight="1">
      <c r="A18" s="2" t="n"/>
      <c r="B18" s="46" t="inlineStr">
        <is>
          <t>SOL</t>
        </is>
      </c>
      <c r="C18" s="46" t="inlineStr">
        <is>
          <t>Service Provider</t>
        </is>
      </c>
      <c r="D18" s="46" t="inlineStr">
        <is>
          <t>John Kinch</t>
        </is>
      </c>
      <c r="E18" s="46" t="inlineStr"/>
      <c r="F18" s="46" t="inlineStr">
        <is>
          <t>480.734.5384</t>
        </is>
      </c>
      <c r="G18" s="46" t="inlineStr">
        <is>
          <t>john@sol-mail.net</t>
        </is>
      </c>
      <c r="H18" s="47" t="inlineStr"/>
      <c r="I18" s="49" t="inlineStr">
        <is>
          <t>✓</t>
        </is>
      </c>
      <c r="J18" s="47" t="inlineStr">
        <is>
          <t>Net 30</t>
        </is>
      </c>
      <c r="K18" s="43" t="inlineStr">
        <is>
          <t>Active</t>
        </is>
      </c>
      <c r="L18" s="2" t="n"/>
      <c r="M18" s="2" t="n"/>
    </row>
    <row r="19">
      <c r="A19" s="2" t="n"/>
      <c r="B19" s="2" t="n"/>
      <c r="C19" s="2" t="n"/>
      <c r="D19" s="2" t="n"/>
      <c r="E19" s="2" t="n"/>
      <c r="F19" s="2" t="n"/>
      <c r="G19" s="2" t="n"/>
      <c r="H19" s="2" t="n"/>
      <c r="I19" s="2" t="n"/>
      <c r="J19" s="2" t="n"/>
      <c r="K19" s="2" t="n"/>
      <c r="L19" s="2" t="n"/>
      <c r="M19" s="2" t="n"/>
    </row>
    <row r="20">
      <c r="A20" s="2" t="n"/>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sheetData>
  <autoFilter ref="B6:K18"/>
  <mergeCells count="4">
    <mergeCell ref="B4:K4"/>
    <mergeCell ref="B3:K3"/>
    <mergeCell ref="A1:M1"/>
    <mergeCell ref="B2:K2"/>
  </mergeCells>
  <pageMargins left="0.75" right="0.75" top="1" bottom="1" header="0.5" footer="0.5"/>
</worksheet>
</file>

<file path=xl/worksheets/sheet15.xml><?xml version="1.0" encoding="utf-8"?>
<worksheet xmlns="http://schemas.openxmlformats.org/spreadsheetml/2006/main">
  <sheetPr>
    <tabColor rgb="001F2937"/>
    <outlinePr summaryBelow="1" summaryRight="1"/>
    <pageSetUpPr/>
  </sheetPr>
  <dimension ref="A1:L41"/>
  <sheetViews>
    <sheetView showGridLines="0" workbookViewId="0">
      <selection activeCell="A1" sqref="A1"/>
    </sheetView>
  </sheetViews>
  <sheetFormatPr baseColWidth="8" defaultRowHeight="15"/>
  <cols>
    <col width="2.4" customWidth="1" min="1" max="1"/>
    <col width="2.4" customWidth="1" min="11" max="11"/>
    <col width="2.4" customWidth="1" min="12" max="12"/>
  </cols>
  <sheetData>
    <row r="1">
      <c r="A1" s="1" t="n"/>
      <c r="B1" s="2" t="n"/>
      <c r="C1" s="2" t="n"/>
      <c r="D1" s="2" t="n"/>
      <c r="E1" s="2" t="n"/>
      <c r="F1" s="2" t="n"/>
      <c r="G1" s="2" t="n"/>
      <c r="H1" s="2" t="n"/>
      <c r="I1" s="2" t="n"/>
      <c r="J1" s="2" t="n"/>
      <c r="K1" s="2" t="n"/>
      <c r="L1" s="2" t="n"/>
    </row>
    <row r="2" ht="30" customHeight="1">
      <c r="A2" s="2" t="n"/>
      <c r="B2" s="22" t="inlineStr">
        <is>
          <t>About this Workbook</t>
        </is>
      </c>
      <c r="C2" s="2" t="n"/>
      <c r="D2" s="2" t="n"/>
      <c r="E2" s="2" t="n"/>
      <c r="F2" s="2" t="n"/>
      <c r="G2" s="2" t="n"/>
      <c r="H2" s="2" t="n"/>
      <c r="I2" s="2" t="n"/>
      <c r="J2" s="2" t="n"/>
      <c r="K2" s="2" t="n"/>
      <c r="L2" s="2" t="n"/>
    </row>
    <row r="3" ht="18" customHeight="1">
      <c r="A3" s="2" t="n"/>
      <c r="B3" s="23" t="inlineStr">
        <is>
          <t>What SteelBuild Pro is · module map · legends · data dictionary</t>
        </is>
      </c>
      <c r="C3" s="2" t="n"/>
      <c r="D3" s="2" t="n"/>
      <c r="E3" s="2" t="n"/>
      <c r="F3" s="2" t="n"/>
      <c r="G3" s="2" t="n"/>
      <c r="H3" s="2" t="n"/>
      <c r="I3" s="2" t="n"/>
      <c r="J3" s="2" t="n"/>
      <c r="K3" s="2" t="n"/>
      <c r="L3" s="2" t="n"/>
    </row>
    <row r="4" ht="3" customHeight="1">
      <c r="A4" s="2" t="n"/>
      <c r="B4" s="5" t="n"/>
      <c r="C4" s="2" t="n"/>
      <c r="D4" s="2" t="n"/>
      <c r="E4" s="2" t="n"/>
      <c r="F4" s="2" t="n"/>
      <c r="G4" s="2" t="n"/>
      <c r="H4" s="2" t="n"/>
      <c r="I4" s="2" t="n"/>
      <c r="J4" s="2" t="n"/>
      <c r="K4" s="2" t="n"/>
      <c r="L4" s="2" t="n"/>
    </row>
    <row r="5">
      <c r="A5" s="2" t="n"/>
      <c r="B5" s="2" t="n"/>
      <c r="C5" s="2" t="n"/>
      <c r="D5" s="2" t="n"/>
      <c r="E5" s="2" t="n"/>
      <c r="F5" s="2" t="n"/>
      <c r="G5" s="2" t="n"/>
      <c r="H5" s="2" t="n"/>
      <c r="I5" s="2" t="n"/>
      <c r="J5" s="2" t="n"/>
      <c r="K5" s="2" t="n"/>
      <c r="L5" s="2" t="n"/>
    </row>
    <row r="6" ht="22" customHeight="1">
      <c r="A6" s="2" t="n"/>
      <c r="B6" s="9" t="inlineStr">
        <is>
          <t>WHAT IS STEELBUILD PRO?</t>
        </is>
      </c>
      <c r="C6" s="2" t="n"/>
      <c r="D6" s="2" t="n"/>
      <c r="E6" s="2" t="n"/>
      <c r="F6" s="2" t="n"/>
      <c r="G6" s="2" t="n"/>
      <c r="H6" s="2" t="n"/>
      <c r="I6" s="2" t="n"/>
      <c r="J6" s="2" t="n"/>
      <c r="K6" s="2" t="n"/>
      <c r="L6" s="2" t="n"/>
    </row>
    <row r="7" ht="15" customHeight="1">
      <c r="A7" s="2" t="n"/>
      <c r="B7" s="91" t="inlineStr">
        <is>
          <t xml:space="preserve">   SteelBuild Pro is a multi-tenant SaaS platform for structural-steel fabricators and erectors.</t>
        </is>
      </c>
      <c r="C7" s="2" t="n"/>
      <c r="D7" s="2" t="n"/>
      <c r="E7" s="2" t="n"/>
      <c r="F7" s="2" t="n"/>
      <c r="G7" s="2" t="n"/>
      <c r="H7" s="2" t="n"/>
      <c r="I7" s="2" t="n"/>
      <c r="J7" s="2" t="n"/>
      <c r="K7" s="2" t="n"/>
      <c r="L7" s="2" t="n"/>
    </row>
    <row r="8" ht="15" customHeight="1">
      <c r="A8" s="2" t="n"/>
      <c r="B8" s="91" t="inlineStr">
        <is>
          <t xml:space="preserve">   It runs the full project lifecycle: drawings → submittals → RFIs → work packages → fabrication →</t>
        </is>
      </c>
      <c r="C8" s="2" t="n"/>
      <c r="D8" s="2" t="n"/>
      <c r="E8" s="2" t="n"/>
      <c r="F8" s="2" t="n"/>
      <c r="G8" s="2" t="n"/>
      <c r="H8" s="2" t="n"/>
      <c r="I8" s="2" t="n"/>
      <c r="J8" s="2" t="n"/>
      <c r="K8" s="2" t="n"/>
      <c r="L8" s="2" t="n"/>
    </row>
    <row r="9" ht="15" customHeight="1">
      <c r="A9" s="2" t="n"/>
      <c r="B9" s="91" t="inlineStr">
        <is>
          <t xml:space="preserve">   delivery → erection, with cost, schedule and change-order control wrapped around the workflow.</t>
        </is>
      </c>
      <c r="C9" s="2" t="n"/>
      <c r="D9" s="2" t="n"/>
      <c r="E9" s="2" t="n"/>
      <c r="F9" s="2" t="n"/>
      <c r="G9" s="2" t="n"/>
      <c r="H9" s="2" t="n"/>
      <c r="I9" s="2" t="n"/>
      <c r="J9" s="2" t="n"/>
      <c r="K9" s="2" t="n"/>
      <c r="L9" s="2" t="n"/>
    </row>
    <row r="10" ht="15" customHeight="1">
      <c r="A10" s="2" t="n"/>
      <c r="B10" s="91" t="inlineStr">
        <is>
          <t xml:space="preserve">   Its moat is the Detailing Control Center: AI revision-diff, set-level approval, and an auto-lock that</t>
        </is>
      </c>
      <c r="C10" s="2" t="n"/>
      <c r="D10" s="2" t="n"/>
      <c r="E10" s="2" t="n"/>
      <c r="F10" s="2" t="n"/>
      <c r="G10" s="2" t="n"/>
      <c r="H10" s="2" t="n"/>
      <c r="I10" s="2" t="n"/>
      <c r="J10" s="2" t="n"/>
      <c r="K10" s="2" t="n"/>
      <c r="L10" s="2" t="n"/>
    </row>
    <row r="11" ht="15" customHeight="1">
      <c r="A11" s="2" t="n"/>
      <c r="B11" s="91" t="inlineStr">
        <is>
          <t xml:space="preserve">   releases drawing sets to fabrication the moment their submittal is approved.</t>
        </is>
      </c>
      <c r="C11" s="2" t="n"/>
      <c r="D11" s="2" t="n"/>
      <c r="E11" s="2" t="n"/>
      <c r="F11" s="2" t="n"/>
      <c r="G11" s="2" t="n"/>
      <c r="H11" s="2" t="n"/>
      <c r="I11" s="2" t="n"/>
      <c r="J11" s="2" t="n"/>
      <c r="K11" s="2" t="n"/>
      <c r="L11" s="2" t="n"/>
    </row>
    <row r="12">
      <c r="A12" s="2" t="n"/>
      <c r="B12" s="2" t="n"/>
      <c r="C12" s="2" t="n"/>
      <c r="D12" s="2" t="n"/>
      <c r="E12" s="2" t="n"/>
      <c r="F12" s="2" t="n"/>
      <c r="G12" s="2" t="n"/>
      <c r="H12" s="2" t="n"/>
      <c r="I12" s="2" t="n"/>
      <c r="J12" s="2" t="n"/>
      <c r="K12" s="2" t="n"/>
      <c r="L12" s="2" t="n"/>
    </row>
    <row r="13" ht="22" customHeight="1">
      <c r="A13" s="2" t="n"/>
      <c r="B13" s="9" t="inlineStr">
        <is>
          <t>THIS WORKBOOK</t>
        </is>
      </c>
      <c r="C13" s="2" t="n"/>
      <c r="D13" s="2" t="n"/>
      <c r="E13" s="2" t="n"/>
      <c r="F13" s="2" t="n"/>
      <c r="G13" s="2" t="n"/>
      <c r="H13" s="2" t="n"/>
      <c r="I13" s="2" t="n"/>
      <c r="J13" s="2" t="n"/>
      <c r="K13" s="2" t="n"/>
      <c r="L13" s="2" t="n"/>
    </row>
    <row r="14" ht="15" customHeight="1">
      <c r="A14" s="2" t="n"/>
      <c r="B14" s="91" t="inlineStr">
        <is>
          <t xml:space="preserve">   A read-only, presentation snapshot of one real project — Job 25531, Skyport at Redfield —</t>
        </is>
      </c>
      <c r="C14" s="2" t="n"/>
      <c r="D14" s="2" t="n"/>
      <c r="E14" s="2" t="n"/>
      <c r="F14" s="2" t="n"/>
      <c r="G14" s="2" t="n"/>
      <c r="H14" s="2" t="n"/>
      <c r="I14" s="2" t="n"/>
      <c r="J14" s="2" t="n"/>
      <c r="K14" s="2" t="n"/>
      <c r="L14" s="2" t="n"/>
    </row>
    <row r="15" ht="15" customHeight="1">
      <c r="A15" s="2" t="n"/>
      <c r="B15" s="91" t="inlineStr">
        <is>
          <t xml:space="preserve">   pulled live from the SteelBuild Pro database on June 22, 2026. Each tab recreates one app screen.</t>
        </is>
      </c>
      <c r="C15" s="2" t="n"/>
      <c r="D15" s="2" t="n"/>
      <c r="E15" s="2" t="n"/>
      <c r="F15" s="2" t="n"/>
      <c r="G15" s="2" t="n"/>
      <c r="H15" s="2" t="n"/>
      <c r="I15" s="2" t="n"/>
      <c r="J15" s="2" t="n"/>
      <c r="K15" s="2" t="n"/>
      <c r="L15" s="2" t="n"/>
    </row>
    <row r="16" ht="15" customHeight="1">
      <c r="A16" s="2" t="n"/>
      <c r="B16" s="91" t="inlineStr">
        <is>
          <t xml:space="preserve">   Figures are a point-in-time snapshot; the live app is the system of record.</t>
        </is>
      </c>
      <c r="C16" s="2" t="n"/>
      <c r="D16" s="2" t="n"/>
      <c r="E16" s="2" t="n"/>
      <c r="F16" s="2" t="n"/>
      <c r="G16" s="2" t="n"/>
      <c r="H16" s="2" t="n"/>
      <c r="I16" s="2" t="n"/>
      <c r="J16" s="2" t="n"/>
      <c r="K16" s="2" t="n"/>
      <c r="L16" s="2" t="n"/>
    </row>
    <row r="17">
      <c r="A17" s="2" t="n"/>
      <c r="B17" s="2" t="n"/>
      <c r="C17" s="2" t="n"/>
      <c r="D17" s="2" t="n"/>
      <c r="E17" s="2" t="n"/>
      <c r="F17" s="2" t="n"/>
      <c r="G17" s="2" t="n"/>
      <c r="H17" s="2" t="n"/>
      <c r="I17" s="2" t="n"/>
      <c r="J17" s="2" t="n"/>
      <c r="K17" s="2" t="n"/>
      <c r="L17" s="2" t="n"/>
    </row>
    <row r="18" ht="22" customHeight="1">
      <c r="A18" s="2" t="n"/>
      <c r="B18" s="9" t="inlineStr">
        <is>
          <t>SUBMITTAL STAGE FLOW</t>
        </is>
      </c>
      <c r="C18" s="2" t="n"/>
      <c r="D18" s="2" t="n"/>
      <c r="E18" s="2" t="n"/>
      <c r="F18" s="2" t="n"/>
      <c r="G18" s="2" t="n"/>
      <c r="H18" s="2" t="n"/>
      <c r="I18" s="2" t="n"/>
      <c r="J18" s="2" t="n"/>
      <c r="K18" s="2" t="n"/>
      <c r="L18" s="2" t="n"/>
    </row>
    <row r="19" ht="15" customHeight="1">
      <c r="A19" s="2" t="n"/>
      <c r="B19" s="91" t="inlineStr">
        <is>
          <t xml:space="preserve">   Not Started → IFA (In For Approval) → OFA (Out For Approval) → BFA (Back From Approval) →</t>
        </is>
      </c>
      <c r="C19" s="2" t="n"/>
      <c r="D19" s="2" t="n"/>
      <c r="E19" s="2" t="n"/>
      <c r="F19" s="2" t="n"/>
      <c r="G19" s="2" t="n"/>
      <c r="H19" s="2" t="n"/>
      <c r="I19" s="2" t="n"/>
      <c r="J19" s="2" t="n"/>
      <c r="K19" s="2" t="n"/>
      <c r="L19" s="2" t="n"/>
    </row>
    <row r="20" ht="15" customHeight="1">
      <c r="A20" s="2" t="n"/>
      <c r="B20" s="91" t="inlineStr">
        <is>
          <t xml:space="preserve">   OFS (Out For Scrub) → IFC (Issued For Construction) → Released for Fabrication.</t>
        </is>
      </c>
      <c r="C20" s="2" t="n"/>
      <c r="D20" s="2" t="n"/>
      <c r="E20" s="2" t="n"/>
      <c r="F20" s="2" t="n"/>
      <c r="G20" s="2" t="n"/>
      <c r="H20" s="2" t="n"/>
      <c r="I20" s="2" t="n"/>
      <c r="J20" s="2" t="n"/>
      <c r="K20" s="2" t="n"/>
      <c r="L20" s="2" t="n"/>
    </row>
    <row r="21" ht="15" customHeight="1">
      <c r="A21" s="2" t="n"/>
      <c r="B21" s="91" t="inlineStr">
        <is>
          <t xml:space="preserve">   R&amp;R = Revise &amp; Resubmit.  Ball-in-court tracks who owns the next action (Detailer / EOR / GC / S&amp;H / Owner).</t>
        </is>
      </c>
      <c r="C21" s="2" t="n"/>
      <c r="D21" s="2" t="n"/>
      <c r="E21" s="2" t="n"/>
      <c r="F21" s="2" t="n"/>
      <c r="G21" s="2" t="n"/>
      <c r="H21" s="2" t="n"/>
      <c r="I21" s="2" t="n"/>
      <c r="J21" s="2" t="n"/>
      <c r="K21" s="2" t="n"/>
      <c r="L21" s="2" t="n"/>
    </row>
    <row r="22">
      <c r="A22" s="2" t="n"/>
      <c r="B22" s="2" t="n"/>
      <c r="C22" s="2" t="n"/>
      <c r="D22" s="2" t="n"/>
      <c r="E22" s="2" t="n"/>
      <c r="F22" s="2" t="n"/>
      <c r="G22" s="2" t="n"/>
      <c r="H22" s="2" t="n"/>
      <c r="I22" s="2" t="n"/>
      <c r="J22" s="2" t="n"/>
      <c r="K22" s="2" t="n"/>
      <c r="L22" s="2" t="n"/>
    </row>
    <row r="23" ht="22" customHeight="1">
      <c r="A23" s="2" t="n"/>
      <c r="B23" s="9" t="inlineStr">
        <is>
          <t>STATUS COLOR LEGEND</t>
        </is>
      </c>
      <c r="C23" s="2" t="n"/>
      <c r="D23" s="2" t="n"/>
      <c r="E23" s="2" t="n"/>
      <c r="F23" s="2" t="n"/>
      <c r="G23" s="2" t="n"/>
      <c r="H23" s="2" t="n"/>
      <c r="I23" s="2" t="n"/>
      <c r="J23" s="2" t="n"/>
      <c r="K23" s="2" t="n"/>
      <c r="L23" s="2" t="n"/>
    </row>
    <row r="24" ht="15" customHeight="1">
      <c r="A24" s="2" t="n"/>
      <c r="B24" s="91" t="inlineStr">
        <is>
          <t xml:space="preserve">   Green = approved / released / complete / delivered.   Teal = approved as noted.</t>
        </is>
      </c>
      <c r="C24" s="2" t="n"/>
      <c r="D24" s="2" t="n"/>
      <c r="E24" s="2" t="n"/>
      <c r="F24" s="2" t="n"/>
      <c r="G24" s="2" t="n"/>
      <c r="H24" s="2" t="n"/>
      <c r="I24" s="2" t="n"/>
      <c r="J24" s="2" t="n"/>
      <c r="K24" s="2" t="n"/>
      <c r="L24" s="2" t="n"/>
    </row>
    <row r="25" ht="15" customHeight="1">
      <c r="A25" s="2" t="n"/>
      <c r="B25" s="91" t="inlineStr">
        <is>
          <t xml:space="preserve">   Amber = in review / in progress / scheduled.   Blue = active workflow stage.</t>
        </is>
      </c>
      <c r="C25" s="2" t="n"/>
      <c r="D25" s="2" t="n"/>
      <c r="E25" s="2" t="n"/>
      <c r="F25" s="2" t="n"/>
      <c r="G25" s="2" t="n"/>
      <c r="H25" s="2" t="n"/>
      <c r="I25" s="2" t="n"/>
      <c r="J25" s="2" t="n"/>
      <c r="K25" s="2" t="n"/>
      <c r="L25" s="2" t="n"/>
    </row>
    <row r="26" ht="15" customHeight="1">
      <c r="A26" s="2" t="n"/>
      <c r="B26" s="91" t="inlineStr">
        <is>
          <t xml:space="preserve">   Red = delayed / revise &amp; resubmit / cost-or-schedule impact.   Gray = not started / inactive.</t>
        </is>
      </c>
      <c r="C26" s="2" t="n"/>
      <c r="D26" s="2" t="n"/>
      <c r="E26" s="2" t="n"/>
      <c r="F26" s="2" t="n"/>
      <c r="G26" s="2" t="n"/>
      <c r="H26" s="2" t="n"/>
      <c r="I26" s="2" t="n"/>
      <c r="J26" s="2" t="n"/>
      <c r="K26" s="2" t="n"/>
      <c r="L26" s="2" t="n"/>
    </row>
    <row r="27">
      <c r="A27" s="2" t="n"/>
      <c r="B27" s="2" t="n"/>
      <c r="C27" s="2" t="n"/>
      <c r="D27" s="2" t="n"/>
      <c r="E27" s="2" t="n"/>
      <c r="F27" s="2" t="n"/>
      <c r="G27" s="2" t="n"/>
      <c r="H27" s="2" t="n"/>
      <c r="I27" s="2" t="n"/>
      <c r="J27" s="2" t="n"/>
      <c r="K27" s="2" t="n"/>
      <c r="L27" s="2" t="n"/>
    </row>
    <row r="28" ht="22" customHeight="1">
      <c r="A28" s="2" t="n"/>
      <c r="B28" s="9" t="inlineStr">
        <is>
          <t>DATA DICTIONARY  ·  what each tab holds</t>
        </is>
      </c>
      <c r="C28" s="2" t="n"/>
      <c r="D28" s="2" t="n"/>
      <c r="E28" s="2" t="n"/>
      <c r="F28" s="2" t="n"/>
      <c r="G28" s="2" t="n"/>
      <c r="H28" s="2" t="n"/>
      <c r="I28" s="2" t="n"/>
      <c r="J28" s="2" t="n"/>
      <c r="K28" s="2" t="n"/>
      <c r="L28" s="2" t="n"/>
    </row>
    <row r="29" ht="15" customHeight="1">
      <c r="A29" s="2" t="n"/>
      <c r="B29" s="91" t="inlineStr">
        <is>
          <t xml:space="preserve">   Drawing Sets — packages tracked at set level (the unit of work), not individual sheets.</t>
        </is>
      </c>
      <c r="C29" s="2" t="n"/>
      <c r="D29" s="2" t="n"/>
      <c r="E29" s="2" t="n"/>
      <c r="F29" s="2" t="n"/>
      <c r="G29" s="2" t="n"/>
      <c r="H29" s="2" t="n"/>
      <c r="I29" s="2" t="n"/>
      <c r="J29" s="2" t="n"/>
      <c r="K29" s="2" t="n"/>
      <c r="L29" s="2" t="n"/>
    </row>
    <row r="30" ht="15" customHeight="1">
      <c r="A30" s="2" t="n"/>
      <c r="B30" s="91" t="inlineStr">
        <is>
          <t xml:space="preserve">   Drawings — individual sheets with stage &amp; revision; partial revision uploads keep unlisted sheets current.</t>
        </is>
      </c>
      <c r="C30" s="2" t="n"/>
      <c r="D30" s="2" t="n"/>
      <c r="E30" s="2" t="n"/>
      <c r="F30" s="2" t="n"/>
      <c r="G30" s="2" t="n"/>
      <c r="H30" s="2" t="n"/>
      <c r="I30" s="2" t="n"/>
      <c r="J30" s="2" t="n"/>
      <c r="K30" s="2" t="n"/>
      <c r="L30" s="2" t="n"/>
    </row>
    <row r="31" ht="15" customHeight="1">
      <c r="A31" s="2" t="n"/>
      <c r="B31" s="91" t="inlineStr">
        <is>
          <t xml:space="preserve">   Submittals — the workflow authority; drawings.stage is deprecated for rollups.</t>
        </is>
      </c>
      <c r="C31" s="2" t="n"/>
      <c r="D31" s="2" t="n"/>
      <c r="E31" s="2" t="n"/>
      <c r="F31" s="2" t="n"/>
      <c r="G31" s="2" t="n"/>
      <c r="H31" s="2" t="n"/>
      <c r="I31" s="2" t="n"/>
      <c r="J31" s="2" t="n"/>
      <c r="K31" s="2" t="n"/>
      <c r="L31" s="2" t="n"/>
    </row>
    <row r="32" ht="15" customHeight="1">
      <c r="A32" s="2" t="n"/>
      <c r="B32" s="91" t="inlineStr">
        <is>
          <t xml:space="preserve">   RFIs — drawing_reference + cost/schedule impact flags; open RFIs can gate fab release.</t>
        </is>
      </c>
      <c r="C32" s="2" t="n"/>
      <c r="D32" s="2" t="n"/>
      <c r="E32" s="2" t="n"/>
      <c r="F32" s="2" t="n"/>
      <c r="G32" s="2" t="n"/>
      <c r="H32" s="2" t="n"/>
      <c r="I32" s="2" t="n"/>
      <c r="J32" s="2" t="n"/>
      <c r="K32" s="2" t="n"/>
      <c r="L32" s="2" t="n"/>
    </row>
    <row r="33" ht="15" customHeight="1">
      <c r="A33" s="2" t="n"/>
      <c r="B33" s="91" t="inlineStr">
        <is>
          <t xml:space="preserve">   Work Packages — released scope by area/crew; the bridge from detailing to the field.</t>
        </is>
      </c>
      <c r="C33" s="2" t="n"/>
      <c r="D33" s="2" t="n"/>
      <c r="E33" s="2" t="n"/>
      <c r="F33" s="2" t="n"/>
      <c r="G33" s="2" t="n"/>
      <c r="H33" s="2" t="n"/>
      <c r="I33" s="2" t="n"/>
      <c r="J33" s="2" t="n"/>
      <c r="K33" s="2" t="n"/>
      <c r="L33" s="2" t="n"/>
    </row>
    <row r="34" ht="15" customHeight="1">
      <c r="A34" s="2" t="n"/>
      <c r="B34" s="91" t="inlineStr">
        <is>
          <t xml:space="preserve">   Deliveries — truckloads with piece counts &amp; tonnage.   Change Orders — contract deltas with margin.</t>
        </is>
      </c>
      <c r="C34" s="2" t="n"/>
      <c r="D34" s="2" t="n"/>
      <c r="E34" s="2" t="n"/>
      <c r="F34" s="2" t="n"/>
      <c r="G34" s="2" t="n"/>
      <c r="H34" s="2" t="n"/>
      <c r="I34" s="2" t="n"/>
      <c r="J34" s="2" t="n"/>
      <c r="K34" s="2" t="n"/>
      <c r="L34" s="2" t="n"/>
    </row>
    <row r="35" ht="15" customHeight="1">
      <c r="A35" s="2" t="n"/>
      <c r="B35" s="91" t="inlineStr">
        <is>
          <t xml:space="preserve">   Fabrication &amp; Financials — module structure shown; no records logged for this project yet.</t>
        </is>
      </c>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0" t="inlineStr">
        <is>
          <t>Generated by Claude (Anthropic) from the SteelBuild Pro Supabase database · read-only demonstration · not the system of record.</t>
        </is>
      </c>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sheetData>
  <mergeCells count="30">
    <mergeCell ref="B11:J11"/>
    <mergeCell ref="B14:J14"/>
    <mergeCell ref="B23:J23"/>
    <mergeCell ref="B8:J8"/>
    <mergeCell ref="B13:J13"/>
    <mergeCell ref="B29:J29"/>
    <mergeCell ref="B19:J19"/>
    <mergeCell ref="B34:J34"/>
    <mergeCell ref="B10:J10"/>
    <mergeCell ref="B28:J28"/>
    <mergeCell ref="B9:J9"/>
    <mergeCell ref="B6:J6"/>
    <mergeCell ref="B24:J24"/>
    <mergeCell ref="B30:J30"/>
    <mergeCell ref="B15:J15"/>
    <mergeCell ref="B33:J33"/>
    <mergeCell ref="B20:J20"/>
    <mergeCell ref="B32:J32"/>
    <mergeCell ref="B26:J26"/>
    <mergeCell ref="B35:J35"/>
    <mergeCell ref="B4:J4"/>
    <mergeCell ref="B16:J16"/>
    <mergeCell ref="B7:J7"/>
    <mergeCell ref="B25:J25"/>
    <mergeCell ref="B3:J3"/>
    <mergeCell ref="A1:L1"/>
    <mergeCell ref="B31:J31"/>
    <mergeCell ref="B18:J18"/>
    <mergeCell ref="B21:J21"/>
    <mergeCell ref="B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2026-06-23T05:32:47Z</dcterms:created>
  <dcterms:modified xsi:type="dcterms:W3CDTF">2026-06-23T05:32:47Z</dcterms:modified>
</cp:coreProperties>
</file>